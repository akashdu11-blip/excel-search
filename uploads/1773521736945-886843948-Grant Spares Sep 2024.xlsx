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752F7789-8A20-4616-B392-77FEE62D4A02}" xr6:coauthVersionLast="47" xr6:coauthVersionMax="47" xr10:uidLastSave="{00000000-0000-0000-0000-000000000000}"/>
  <bookViews>
    <workbookView xWindow="-110" yWindow="-110" windowWidth="19420" windowHeight="11500" xr2:uid="{A8233FB8-E653-43F7-A4E9-E186C4E79468}"/>
  </bookViews>
  <sheets>
    <sheet name="Sheet1" sheetId="1" r:id="rId1"/>
  </sheets>
  <externalReferences>
    <externalReference r:id="rId2"/>
  </externalReferences>
  <definedNames>
    <definedName name="_xlnm._FilterDatabase" localSheetId="0" hidden="1">Sheet1!$A$4:$G$1078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J78" i="1" s="1"/>
  <c r="I79" i="1"/>
  <c r="J79" i="1" s="1"/>
  <c r="I80" i="1"/>
  <c r="J80" i="1" s="1"/>
  <c r="I81" i="1"/>
  <c r="J81" i="1" s="1"/>
  <c r="I82" i="1"/>
  <c r="J82" i="1" s="1"/>
  <c r="I83" i="1"/>
  <c r="I84" i="1"/>
  <c r="I85" i="1"/>
  <c r="J85" i="1" s="1"/>
  <c r="I86" i="1"/>
  <c r="I87" i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I243" i="1"/>
  <c r="J243" i="1" s="1"/>
  <c r="I244" i="1"/>
  <c r="J244" i="1" s="1"/>
  <c r="I245" i="1"/>
  <c r="J245" i="1" s="1"/>
  <c r="I246" i="1"/>
  <c r="I247" i="1"/>
  <c r="J247" i="1" s="1"/>
  <c r="I248" i="1"/>
  <c r="J248" i="1" s="1"/>
  <c r="I249" i="1"/>
  <c r="I251" i="1"/>
  <c r="I252" i="1"/>
  <c r="J252" i="1" s="1"/>
  <c r="I253" i="1"/>
  <c r="I255" i="1"/>
  <c r="J255" i="1" s="1"/>
  <c r="I256" i="1"/>
  <c r="J256" i="1" s="1"/>
  <c r="I257" i="1"/>
  <c r="I259" i="1"/>
  <c r="J259" i="1" s="1"/>
  <c r="I260" i="1"/>
  <c r="J260" i="1" s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J338" i="1" s="1"/>
  <c r="I339" i="1"/>
  <c r="J339" i="1" s="1"/>
  <c r="I340" i="1"/>
  <c r="J340" i="1" s="1"/>
  <c r="I341" i="1"/>
  <c r="I342" i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I350" i="1"/>
  <c r="J350" i="1" s="1"/>
  <c r="I351" i="1"/>
  <c r="J351" i="1" s="1"/>
  <c r="I352" i="1"/>
  <c r="J352" i="1" s="1"/>
  <c r="I353" i="1"/>
  <c r="I354" i="1"/>
  <c r="J354" i="1" s="1"/>
  <c r="I355" i="1"/>
  <c r="I356" i="1"/>
  <c r="I357" i="1"/>
  <c r="I358" i="1"/>
  <c r="I359" i="1"/>
  <c r="J359" i="1" s="1"/>
  <c r="I360" i="1"/>
  <c r="J360" i="1" s="1"/>
  <c r="I361" i="1"/>
  <c r="I362" i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I369" i="1"/>
  <c r="I370" i="1"/>
  <c r="J370" i="1" s="1"/>
  <c r="I371" i="1"/>
  <c r="I372" i="1"/>
  <c r="I373" i="1"/>
  <c r="I374" i="1"/>
  <c r="J374" i="1" s="1"/>
  <c r="I375" i="1"/>
  <c r="J375" i="1" s="1"/>
  <c r="I376" i="1"/>
  <c r="J376" i="1" s="1"/>
  <c r="I377" i="1"/>
  <c r="I378" i="1"/>
  <c r="I379" i="1"/>
  <c r="J379" i="1" s="1"/>
  <c r="I380" i="1"/>
  <c r="I381" i="1"/>
  <c r="J381" i="1" s="1"/>
  <c r="I382" i="1"/>
  <c r="I383" i="1"/>
  <c r="I384" i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I397" i="1"/>
  <c r="I398" i="1"/>
  <c r="I399" i="1"/>
  <c r="I400" i="1"/>
  <c r="I401" i="1"/>
  <c r="I402" i="1"/>
  <c r="I403" i="1"/>
  <c r="J403" i="1" s="1"/>
  <c r="I404" i="1"/>
  <c r="J404" i="1" s="1"/>
  <c r="I405" i="1"/>
  <c r="J405" i="1" s="1"/>
  <c r="I406" i="1"/>
  <c r="I407" i="1"/>
  <c r="I408" i="1"/>
  <c r="I409" i="1"/>
  <c r="J409" i="1" s="1"/>
  <c r="I410" i="1"/>
  <c r="I411" i="1"/>
  <c r="J411" i="1" s="1"/>
  <c r="I412" i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I419" i="1"/>
  <c r="I420" i="1"/>
  <c r="I421" i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I443" i="1"/>
  <c r="I444" i="1"/>
  <c r="I445" i="1"/>
  <c r="J445" i="1" s="1"/>
  <c r="I446" i="1"/>
  <c r="J446" i="1" s="1"/>
  <c r="I447" i="1"/>
  <c r="J447" i="1" s="1"/>
  <c r="I448" i="1"/>
  <c r="I449" i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I458" i="1"/>
  <c r="I459" i="1"/>
  <c r="J459" i="1" s="1"/>
  <c r="I460" i="1"/>
  <c r="J460" i="1" s="1"/>
  <c r="I461" i="1"/>
  <c r="J461" i="1" s="1"/>
  <c r="I462" i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I471" i="1"/>
  <c r="I472" i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I480" i="1"/>
  <c r="I481" i="1"/>
  <c r="I482" i="1"/>
  <c r="J482" i="1" s="1"/>
  <c r="I483" i="1"/>
  <c r="J483" i="1" s="1"/>
  <c r="I484" i="1"/>
  <c r="I485" i="1"/>
  <c r="I486" i="1"/>
  <c r="I487" i="1"/>
  <c r="I488" i="1"/>
  <c r="I489" i="1"/>
  <c r="J489" i="1" s="1"/>
  <c r="I490" i="1"/>
  <c r="I491" i="1"/>
  <c r="I492" i="1"/>
  <c r="I493" i="1"/>
  <c r="I494" i="1"/>
  <c r="I495" i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J575" i="1" s="1"/>
  <c r="I576" i="1"/>
  <c r="J576" i="1" s="1"/>
  <c r="I577" i="1"/>
  <c r="J577" i="1" s="1"/>
  <c r="I578" i="1"/>
  <c r="J578" i="1" s="1"/>
  <c r="I579" i="1"/>
  <c r="I580" i="1"/>
  <c r="I581" i="1"/>
  <c r="I582" i="1"/>
  <c r="I583" i="1"/>
  <c r="I584" i="1"/>
  <c r="I585" i="1"/>
  <c r="I586" i="1"/>
  <c r="J586" i="1" s="1"/>
  <c r="I587" i="1"/>
  <c r="I588" i="1"/>
  <c r="I589" i="1"/>
  <c r="I590" i="1"/>
  <c r="I591" i="1"/>
  <c r="I592" i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I675" i="1"/>
  <c r="I676" i="1"/>
  <c r="I677" i="1"/>
  <c r="I678" i="1"/>
  <c r="J678" i="1" s="1"/>
  <c r="I679" i="1"/>
  <c r="J679" i="1" s="1"/>
  <c r="I680" i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J721" i="1" s="1"/>
  <c r="I722" i="1"/>
  <c r="J722" i="1" s="1"/>
  <c r="I723" i="1"/>
  <c r="J723" i="1" s="1"/>
  <c r="I724" i="1"/>
  <c r="J724" i="1" s="1"/>
  <c r="I725" i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I733" i="1"/>
  <c r="I734" i="1"/>
  <c r="I735" i="1"/>
  <c r="I736" i="1"/>
  <c r="J736" i="1" s="1"/>
  <c r="I737" i="1"/>
  <c r="J737" i="1" s="1"/>
  <c r="I738" i="1"/>
  <c r="J738" i="1" s="1"/>
  <c r="I739" i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I747" i="1"/>
  <c r="J747" i="1" s="1"/>
  <c r="I748" i="1"/>
  <c r="J748" i="1" s="1"/>
  <c r="I749" i="1"/>
  <c r="J749" i="1" s="1"/>
  <c r="I750" i="1"/>
  <c r="I751" i="1"/>
  <c r="J751" i="1" s="1"/>
  <c r="I752" i="1"/>
  <c r="J752" i="1" s="1"/>
  <c r="I753" i="1"/>
  <c r="J753" i="1" s="1"/>
  <c r="I754" i="1"/>
  <c r="I755" i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I767" i="1"/>
  <c r="I768" i="1"/>
  <c r="I769" i="1"/>
  <c r="J769" i="1" s="1"/>
  <c r="I770" i="1"/>
  <c r="I771" i="1"/>
  <c r="I772" i="1"/>
  <c r="I773" i="1"/>
  <c r="J773" i="1" s="1"/>
  <c r="I774" i="1"/>
  <c r="I775" i="1"/>
  <c r="I776" i="1"/>
  <c r="I777" i="1"/>
  <c r="J777" i="1" s="1"/>
  <c r="I778" i="1"/>
  <c r="I779" i="1"/>
  <c r="J779" i="1" s="1"/>
  <c r="I780" i="1"/>
  <c r="I781" i="1"/>
  <c r="I782" i="1"/>
  <c r="I783" i="1"/>
  <c r="I784" i="1"/>
  <c r="I785" i="1"/>
  <c r="J785" i="1" s="1"/>
  <c r="I786" i="1"/>
  <c r="J786" i="1" s="1"/>
  <c r="I787" i="1"/>
  <c r="I788" i="1"/>
  <c r="I789" i="1"/>
  <c r="I790" i="1"/>
  <c r="I791" i="1"/>
  <c r="I792" i="1"/>
  <c r="I793" i="1"/>
  <c r="J793" i="1" s="1"/>
  <c r="I794" i="1"/>
  <c r="J794" i="1" s="1"/>
  <c r="I795" i="1"/>
  <c r="J795" i="1" s="1"/>
  <c r="I796" i="1"/>
  <c r="I797" i="1"/>
  <c r="J797" i="1" s="1"/>
  <c r="I798" i="1"/>
  <c r="J798" i="1" s="1"/>
  <c r="I799" i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I814" i="1"/>
  <c r="J814" i="1" s="1"/>
  <c r="I815" i="1"/>
  <c r="I816" i="1"/>
  <c r="J816" i="1" s="1"/>
  <c r="I817" i="1"/>
  <c r="I818" i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I825" i="1"/>
  <c r="I826" i="1"/>
  <c r="I827" i="1"/>
  <c r="I828" i="1"/>
  <c r="I829" i="1"/>
  <c r="I830" i="1"/>
  <c r="I831" i="1"/>
  <c r="J831" i="1" s="1"/>
  <c r="I832" i="1"/>
  <c r="J832" i="1" s="1"/>
  <c r="I833" i="1"/>
  <c r="J833" i="1" s="1"/>
  <c r="I834" i="1"/>
  <c r="J834" i="1" s="1"/>
  <c r="I835" i="1"/>
  <c r="I836" i="1"/>
  <c r="J836" i="1" s="1"/>
  <c r="I837" i="1"/>
  <c r="J837" i="1" s="1"/>
  <c r="I838" i="1"/>
  <c r="I839" i="1"/>
  <c r="I840" i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I847" i="1"/>
  <c r="J847" i="1" s="1"/>
  <c r="I848" i="1"/>
  <c r="J848" i="1" s="1"/>
  <c r="I849" i="1"/>
  <c r="J849" i="1" s="1"/>
  <c r="I850" i="1"/>
  <c r="J850" i="1" s="1"/>
  <c r="I851" i="1"/>
  <c r="I852" i="1"/>
  <c r="I853" i="1"/>
  <c r="J853" i="1" s="1"/>
  <c r="I854" i="1"/>
  <c r="J854" i="1" s="1"/>
  <c r="I855" i="1"/>
  <c r="I856" i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I867" i="1"/>
  <c r="J867" i="1" s="1"/>
  <c r="I868" i="1"/>
  <c r="I869" i="1"/>
  <c r="J869" i="1" s="1"/>
  <c r="I870" i="1"/>
  <c r="J870" i="1" s="1"/>
  <c r="I871" i="1"/>
  <c r="J871" i="1" s="1"/>
  <c r="I872" i="1"/>
  <c r="I873" i="1"/>
  <c r="J873" i="1" s="1"/>
  <c r="I874" i="1"/>
  <c r="J874" i="1" s="1"/>
  <c r="I875" i="1"/>
  <c r="J875" i="1" s="1"/>
  <c r="I876" i="1"/>
  <c r="J876" i="1" s="1"/>
  <c r="I877" i="1"/>
  <c r="I878" i="1"/>
  <c r="I879" i="1"/>
  <c r="I880" i="1"/>
  <c r="I881" i="1"/>
  <c r="J881" i="1" s="1"/>
  <c r="I882" i="1"/>
  <c r="J882" i="1" s="1"/>
  <c r="I883" i="1"/>
  <c r="J883" i="1" s="1"/>
  <c r="I884" i="1"/>
  <c r="J884" i="1" s="1"/>
  <c r="I885" i="1"/>
  <c r="I886" i="1"/>
  <c r="I887" i="1"/>
  <c r="I888" i="1"/>
  <c r="J888" i="1" s="1"/>
  <c r="I889" i="1"/>
  <c r="J889" i="1" s="1"/>
  <c r="I890" i="1"/>
  <c r="J890" i="1" s="1"/>
  <c r="I893" i="1"/>
  <c r="J893" i="1" s="1"/>
  <c r="I894" i="1"/>
  <c r="I895" i="1"/>
  <c r="J895" i="1" s="1"/>
  <c r="I896" i="1"/>
  <c r="J896" i="1" s="1"/>
  <c r="I898" i="1"/>
  <c r="J898" i="1" s="1"/>
  <c r="I903" i="1"/>
  <c r="J903" i="1" s="1"/>
  <c r="I904" i="1"/>
  <c r="J904" i="1" s="1"/>
  <c r="I905" i="1"/>
  <c r="J905" i="1" s="1"/>
  <c r="I906" i="1"/>
  <c r="J906" i="1" s="1"/>
  <c r="I907" i="1"/>
  <c r="J907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1" i="1"/>
  <c r="I952" i="1"/>
  <c r="J952" i="1" s="1"/>
  <c r="I953" i="1"/>
  <c r="J953" i="1" s="1"/>
  <c r="I954" i="1"/>
  <c r="J954" i="1" s="1"/>
  <c r="I955" i="1"/>
  <c r="J955" i="1" s="1"/>
  <c r="I958" i="1"/>
  <c r="J958" i="1" s="1"/>
  <c r="I959" i="1"/>
  <c r="J959" i="1" s="1"/>
  <c r="I960" i="1"/>
  <c r="J960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71" i="1"/>
  <c r="J971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8" i="1"/>
  <c r="J988" i="1" s="1"/>
  <c r="I989" i="1"/>
  <c r="J989" i="1" s="1"/>
  <c r="I991" i="1"/>
  <c r="J991" i="1" s="1"/>
  <c r="I992" i="1"/>
  <c r="J992" i="1" s="1"/>
  <c r="I993" i="1"/>
  <c r="J993" i="1" s="1"/>
  <c r="I994" i="1"/>
  <c r="J994" i="1" s="1"/>
  <c r="I995" i="1"/>
  <c r="J995" i="1" s="1"/>
  <c r="I1000" i="1"/>
  <c r="J1000" i="1" s="1"/>
  <c r="I1002" i="1"/>
  <c r="J1002" i="1" s="1"/>
  <c r="I1003" i="1"/>
  <c r="J1003" i="1" s="1"/>
  <c r="I1004" i="1"/>
  <c r="J1004" i="1" s="1"/>
  <c r="I1005" i="1"/>
  <c r="J1005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5" i="1"/>
  <c r="J1015" i="1" s="1"/>
  <c r="I1016" i="1"/>
  <c r="J1016" i="1" s="1"/>
  <c r="I1017" i="1"/>
  <c r="J1017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63" i="1"/>
  <c r="J1063" i="1" s="1"/>
  <c r="I1064" i="1"/>
  <c r="J1064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8" i="1"/>
  <c r="J1078" i="1" s="1"/>
  <c r="I5" i="1"/>
  <c r="J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Audrey Mannings</author>
  </authors>
  <commentList>
    <comment ref="C762" authorId="0" shapeId="0" xr:uid="{89748F35-AD43-488C-B80E-21927C190D1F}">
      <text>
        <r>
          <rPr>
            <b/>
            <sz val="9"/>
            <color indexed="81"/>
            <rFont val="Tahoma"/>
            <family val="2"/>
          </rPr>
          <t>Audrey Mannings:</t>
        </r>
        <r>
          <rPr>
            <sz val="9"/>
            <color indexed="81"/>
            <rFont val="Tahoma"/>
            <family val="2"/>
          </rPr>
          <t xml:space="preserve">
Replaces WPS130</t>
        </r>
      </text>
    </comment>
  </commentList>
</comments>
</file>

<file path=xl/sharedStrings.xml><?xml version="1.0" encoding="utf-8"?>
<sst xmlns="http://schemas.openxmlformats.org/spreadsheetml/2006/main" count="5734" uniqueCount="2353">
  <si>
    <t>Category</t>
  </si>
  <si>
    <t>Sub Category</t>
  </si>
  <si>
    <t>EAN Barcode</t>
  </si>
  <si>
    <t>Suitable For</t>
  </si>
  <si>
    <t>ASHP</t>
  </si>
  <si>
    <t>Capacitors</t>
  </si>
  <si>
    <t>HPAS10</t>
  </si>
  <si>
    <t>50UF Power Capacitor</t>
  </si>
  <si>
    <t>HPAW65, HPAW85</t>
  </si>
  <si>
    <t>HPAS104</t>
  </si>
  <si>
    <t>80uF Run Capacitor</t>
  </si>
  <si>
    <t>ASHE125</t>
  </si>
  <si>
    <t>HPAS105</t>
  </si>
  <si>
    <t>55uF Run Capacitor</t>
  </si>
  <si>
    <t>ASHE175</t>
  </si>
  <si>
    <t>HPAS11</t>
  </si>
  <si>
    <t>60UF Power Capacitor</t>
  </si>
  <si>
    <t>HPAW110/130</t>
  </si>
  <si>
    <t>HPAS12</t>
  </si>
  <si>
    <t>70UF Power Capacitor</t>
  </si>
  <si>
    <t>HPAW155</t>
  </si>
  <si>
    <t>HPAS14</t>
  </si>
  <si>
    <t>4UF Capacitor Fan</t>
  </si>
  <si>
    <t>HPAW65, ASHE175</t>
  </si>
  <si>
    <t>HPAS15</t>
  </si>
  <si>
    <t>6UF Capacitor Fan</t>
  </si>
  <si>
    <t>HPAW85/110/130/155</t>
  </si>
  <si>
    <t>Compressors</t>
  </si>
  <si>
    <t>HPAS111</t>
  </si>
  <si>
    <t>Compressor</t>
  </si>
  <si>
    <t xml:space="preserve">ASHE65 </t>
  </si>
  <si>
    <t>HPAS112</t>
  </si>
  <si>
    <t>ASHE85</t>
  </si>
  <si>
    <t>HPAS113</t>
  </si>
  <si>
    <t>HPAS114</t>
  </si>
  <si>
    <t>HPAS115</t>
  </si>
  <si>
    <t>ASHE215</t>
  </si>
  <si>
    <t>HPAS22</t>
  </si>
  <si>
    <t>HPAW65</t>
  </si>
  <si>
    <t>HPAS23</t>
  </si>
  <si>
    <t>HPAW85</t>
  </si>
  <si>
    <t>HPAS24</t>
  </si>
  <si>
    <t>HPAW110</t>
  </si>
  <si>
    <t>HPAS25</t>
  </si>
  <si>
    <t>HPAW130</t>
  </si>
  <si>
    <t>HPAS26</t>
  </si>
  <si>
    <t>HPID884116</t>
  </si>
  <si>
    <t>COMPRESSOR</t>
  </si>
  <si>
    <t>HPID16</t>
  </si>
  <si>
    <t>HPID934944</t>
  </si>
  <si>
    <t>HPID10</t>
  </si>
  <si>
    <t>HPID937199</t>
  </si>
  <si>
    <t>HPID6</t>
  </si>
  <si>
    <t>Controllers &amp; Accessories</t>
  </si>
  <si>
    <t>HPAS01A</t>
  </si>
  <si>
    <t>BTC Controller</t>
  </si>
  <si>
    <t>All HPAW &amp; ASHE models</t>
  </si>
  <si>
    <t>HPAS02A</t>
  </si>
  <si>
    <t>Black Wiring Hareness (for BTC)</t>
  </si>
  <si>
    <t>HPAS02L</t>
  </si>
  <si>
    <t>BTC Sensor (blue)</t>
  </si>
  <si>
    <t>HPAS109</t>
  </si>
  <si>
    <t xml:space="preserve">ATC Controller </t>
  </si>
  <si>
    <t>All ASHE models</t>
  </si>
  <si>
    <t>HPAS21X</t>
  </si>
  <si>
    <t>All HPAW models</t>
  </si>
  <si>
    <t>HPAS43</t>
  </si>
  <si>
    <t>Temperature Sensor</t>
  </si>
  <si>
    <t>HPAS44</t>
  </si>
  <si>
    <t>Controller Cable 5M</t>
  </si>
  <si>
    <t>ALL HPAW MODELS</t>
  </si>
  <si>
    <t>HPAS94</t>
  </si>
  <si>
    <t>Ambient Air Sensor</t>
  </si>
  <si>
    <t>HPAS96</t>
  </si>
  <si>
    <t>Discharge Gas Sensor</t>
  </si>
  <si>
    <t>HPAS97</t>
  </si>
  <si>
    <t>Black Temperature Sensor</t>
  </si>
  <si>
    <t>HPID883780</t>
  </si>
  <si>
    <t>OUTDOOR TEMPERATURE SENSOR</t>
  </si>
  <si>
    <t xml:space="preserve">HPID6 HPID10 </t>
  </si>
  <si>
    <t>HPID884139</t>
  </si>
  <si>
    <t>DISCHARGE &amp; SUCTION TEMPERATURE SENSOR</t>
  </si>
  <si>
    <t>HPID884140</t>
  </si>
  <si>
    <t>HPID885265</t>
  </si>
  <si>
    <t>CIRCULATING WATER TEMPERATURE SENSOR</t>
  </si>
  <si>
    <t>HPID10 HPID16</t>
  </si>
  <si>
    <t>HPID937013</t>
  </si>
  <si>
    <t>HPID937014</t>
  </si>
  <si>
    <t>Outdoor (defrost) temperature sensor</t>
  </si>
  <si>
    <t>HPID6 HPID10 HPID16</t>
  </si>
  <si>
    <t>HPID937193</t>
  </si>
  <si>
    <t>WATER TEMPERATURE SENSOR</t>
  </si>
  <si>
    <t>POA</t>
  </si>
  <si>
    <t>Miscellaneous</t>
  </si>
  <si>
    <t>HPAS03</t>
  </si>
  <si>
    <t>3kW Immersion Heater</t>
  </si>
  <si>
    <t>HPAS118</t>
  </si>
  <si>
    <t>Immersion Contactor 16A</t>
  </si>
  <si>
    <t xml:space="preserve"> ASHE65/85/125/175/215</t>
  </si>
  <si>
    <t>HPAS140</t>
  </si>
  <si>
    <t>1A glass fuse (10 pack)</t>
  </si>
  <si>
    <t>All models</t>
  </si>
  <si>
    <t>HPAS141</t>
  </si>
  <si>
    <t>5A glass fuse (10 pack)</t>
  </si>
  <si>
    <t>HPAS19</t>
  </si>
  <si>
    <t>12V Transformer</t>
  </si>
  <si>
    <t>HPAS20</t>
  </si>
  <si>
    <t>24V Transformer</t>
  </si>
  <si>
    <t>HPAS32</t>
  </si>
  <si>
    <t>3/4" Male 22mm Hose</t>
  </si>
  <si>
    <t>HPAW65/85, ASHE65/85</t>
  </si>
  <si>
    <t>HPAS33</t>
  </si>
  <si>
    <t>1" Male 28mm Hose</t>
  </si>
  <si>
    <t>HPAW110/130/155, ASHE125/175/215</t>
  </si>
  <si>
    <t>HPAS36</t>
  </si>
  <si>
    <t xml:space="preserve">Fan blade  </t>
  </si>
  <si>
    <t>HPAS37</t>
  </si>
  <si>
    <t>HPAS41</t>
  </si>
  <si>
    <t>Fan Nut</t>
  </si>
  <si>
    <t>HPAW85/110/135/155, ASHE125/175/215</t>
  </si>
  <si>
    <t>HPAS42</t>
  </si>
  <si>
    <t>Fan Washer</t>
  </si>
  <si>
    <t>HPAS55</t>
  </si>
  <si>
    <t>Automatic Air Vent</t>
  </si>
  <si>
    <t>HPAS57</t>
  </si>
  <si>
    <t>Element Supply Block</t>
  </si>
  <si>
    <t>HPAS58</t>
  </si>
  <si>
    <t>Pressure Gauge</t>
  </si>
  <si>
    <t>HPAS59B</t>
  </si>
  <si>
    <t>Black Grill Cage</t>
  </si>
  <si>
    <t>HPAS60</t>
  </si>
  <si>
    <t>Contactor 45A Relay</t>
  </si>
  <si>
    <t>HPAS64</t>
  </si>
  <si>
    <t>Base Tray Wire</t>
  </si>
  <si>
    <t>HPAS65</t>
  </si>
  <si>
    <t>Neutral Connector Block</t>
  </si>
  <si>
    <t>HPAS80</t>
  </si>
  <si>
    <t>Bolt for Grill Cage (pack of 4)</t>
  </si>
  <si>
    <t>HPAS81</t>
  </si>
  <si>
    <t>Stainless Steel Washer for Grill Cage (pack of four)</t>
  </si>
  <si>
    <t>HPAS82</t>
  </si>
  <si>
    <t>Plastic Washer for Grill Cage (pack of four)</t>
  </si>
  <si>
    <t>HPAS91</t>
  </si>
  <si>
    <t>Low Pressure Switch</t>
  </si>
  <si>
    <t>HPAS92</t>
  </si>
  <si>
    <t>Mid Pressure Switch</t>
  </si>
  <si>
    <t>HPAS93</t>
  </si>
  <si>
    <t>High Pressure Switch</t>
  </si>
  <si>
    <t>HPAW65/85/110/130</t>
  </si>
  <si>
    <t>HPAS95</t>
  </si>
  <si>
    <t xml:space="preserve">Control Panel cover  </t>
  </si>
  <si>
    <t>HPAWSOFTA</t>
  </si>
  <si>
    <t>Soft Start</t>
  </si>
  <si>
    <t xml:space="preserve">HPAW65/85, ASHE65 </t>
  </si>
  <si>
    <t>HPAWSOFTB</t>
  </si>
  <si>
    <t>HPAW110, ASHE85/175</t>
  </si>
  <si>
    <t>HPAWSOFTC</t>
  </si>
  <si>
    <t>HPAW130/155, ASHE125/215</t>
  </si>
  <si>
    <t>HPID807205</t>
  </si>
  <si>
    <t xml:space="preserve">O RING (P6) </t>
  </si>
  <si>
    <t>HPID807207</t>
  </si>
  <si>
    <t>O RING (P4)</t>
  </si>
  <si>
    <t>HPID807209</t>
  </si>
  <si>
    <t>O RING (P3)</t>
  </si>
  <si>
    <t>HPID807213</t>
  </si>
  <si>
    <t>O RING (P16)</t>
  </si>
  <si>
    <t>HPID808972</t>
  </si>
  <si>
    <t>O RING (P12.5)</t>
  </si>
  <si>
    <t>HPID883634</t>
  </si>
  <si>
    <t>CONDENSER ASSEMBLY</t>
  </si>
  <si>
    <t>HPID883743</t>
  </si>
  <si>
    <t>HPID884120</t>
  </si>
  <si>
    <t>HIGH PRESSURE SWITCH</t>
  </si>
  <si>
    <t>HPID884130</t>
  </si>
  <si>
    <t>DEFROST HEATER</t>
  </si>
  <si>
    <t>HPID884136</t>
  </si>
  <si>
    <t>HPID884211</t>
  </si>
  <si>
    <t>HPID885259</t>
  </si>
  <si>
    <t>REACTOR</t>
  </si>
  <si>
    <t>HPID885264</t>
  </si>
  <si>
    <t>POWER TRANSFORMER</t>
  </si>
  <si>
    <t>HPID885508</t>
  </si>
  <si>
    <t>HPID910164</t>
  </si>
  <si>
    <t>O RING (P14)</t>
  </si>
  <si>
    <t>HPID922330</t>
  </si>
  <si>
    <t>PROPELLER FAN</t>
  </si>
  <si>
    <t>HPID922856</t>
  </si>
  <si>
    <t>O RING (P22)</t>
  </si>
  <si>
    <t>HPID927200</t>
  </si>
  <si>
    <t xml:space="preserve">REACTOR </t>
  </si>
  <si>
    <t>HPID934945</t>
  </si>
  <si>
    <t>HPID938112</t>
  </si>
  <si>
    <t>Motors</t>
  </si>
  <si>
    <t>HPAS107</t>
  </si>
  <si>
    <t>Fan Motor</t>
  </si>
  <si>
    <t>ASHE65/85/125/215</t>
  </si>
  <si>
    <t>HPAS108</t>
  </si>
  <si>
    <t>HPAS16</t>
  </si>
  <si>
    <t>HPAS17</t>
  </si>
  <si>
    <t>HPID885260</t>
  </si>
  <si>
    <t>Motor</t>
  </si>
  <si>
    <t>HPID885510</t>
  </si>
  <si>
    <t>HPID937022</t>
  </si>
  <si>
    <t>PCB Boards</t>
  </si>
  <si>
    <t>HPAS18M</t>
  </si>
  <si>
    <t>PCB Board</t>
  </si>
  <si>
    <t>HPAS18X</t>
  </si>
  <si>
    <t>HPAS18Y</t>
  </si>
  <si>
    <t>ASHE 17.5, 21.5</t>
  </si>
  <si>
    <t>HPAS18Z</t>
  </si>
  <si>
    <t>ASHE 6.5,8.5,12.5</t>
  </si>
  <si>
    <t>HPID885252</t>
  </si>
  <si>
    <t>MAIN PCB ASSEMBLY</t>
  </si>
  <si>
    <t>TERMINAL PCB</t>
  </si>
  <si>
    <t>HPID885392</t>
  </si>
  <si>
    <t xml:space="preserve">MAIN PCB  </t>
  </si>
  <si>
    <t>HPID885501</t>
  </si>
  <si>
    <t>MAIN PCB</t>
  </si>
  <si>
    <t>HPID885765</t>
  </si>
  <si>
    <t>CONTROLLER PCB</t>
  </si>
  <si>
    <t>Pumps</t>
  </si>
  <si>
    <t>HPAS117</t>
  </si>
  <si>
    <t>SE Circulating Pump (8m)</t>
  </si>
  <si>
    <t>ASHE125/175</t>
  </si>
  <si>
    <t>HPAS137</t>
  </si>
  <si>
    <t>HE Circulating Pump</t>
  </si>
  <si>
    <t>ASHE 65,85, 125</t>
  </si>
  <si>
    <t>HPAS138</t>
  </si>
  <si>
    <t>HPAS139</t>
  </si>
  <si>
    <t>HPAS29</t>
  </si>
  <si>
    <t>SE Circulating pump (6m)</t>
  </si>
  <si>
    <t xml:space="preserve"> HPAW65/85/110/130 ASHE 65/85/125</t>
  </si>
  <si>
    <t>HPAS30</t>
  </si>
  <si>
    <t>SE Circulating Pump (15m)</t>
  </si>
  <si>
    <t xml:space="preserve"> HPAW155 &amp; ASHE 215</t>
  </si>
  <si>
    <t>HPID885268</t>
  </si>
  <si>
    <t>PUMP ASSEMBLY</t>
  </si>
  <si>
    <t>HPID885512</t>
  </si>
  <si>
    <t>Valves</t>
  </si>
  <si>
    <t>HPAS121</t>
  </si>
  <si>
    <t xml:space="preserve">2.4 Electronic Expansion Valve  </t>
  </si>
  <si>
    <t>HPAW11.0,13.0,ASHE 12.5,21.5</t>
  </si>
  <si>
    <t>HPAS121A</t>
  </si>
  <si>
    <t xml:space="preserve">1.8 Electronic Expansion Valve  </t>
  </si>
  <si>
    <t>ASHE 6.5, 8.5, 17.5</t>
  </si>
  <si>
    <t>HPAS127</t>
  </si>
  <si>
    <t xml:space="preserve">Small Valve Coil  </t>
  </si>
  <si>
    <t>HPAW6.5, 8.5 &amp; ASHE 6.5, 8.5, 17.5, 21.5</t>
  </si>
  <si>
    <t>HPAS128</t>
  </si>
  <si>
    <t xml:space="preserve">Large Valve Coil  </t>
  </si>
  <si>
    <t>HPAW11.0, 13.0 &amp; ASHE 12.5</t>
  </si>
  <si>
    <t>HPAS34</t>
  </si>
  <si>
    <t>1/4" 22mm Isolation Valve</t>
  </si>
  <si>
    <t>HPAS35</t>
  </si>
  <si>
    <t>1" 28mm Isolation Valve</t>
  </si>
  <si>
    <t>HPAS45</t>
  </si>
  <si>
    <t xml:space="preserve">4-way Valve  </t>
  </si>
  <si>
    <t>HPAW65/85</t>
  </si>
  <si>
    <t>HPAS45A</t>
  </si>
  <si>
    <t xml:space="preserve">ASHE65/85/125 </t>
  </si>
  <si>
    <t>HPAS48</t>
  </si>
  <si>
    <t xml:space="preserve">HPAW110/130/155 </t>
  </si>
  <si>
    <t>HPAS48A</t>
  </si>
  <si>
    <t>HPID761569</t>
  </si>
  <si>
    <t>QUICK FASTENER HPID10</t>
  </si>
  <si>
    <t>HPID790706</t>
  </si>
  <si>
    <t>QUICK FASTENER (12.7)</t>
  </si>
  <si>
    <t>HPID6, HPID10, HPID16</t>
  </si>
  <si>
    <t>HPID883741</t>
  </si>
  <si>
    <t>LEFT SIDE PANEL ASSEMBLY</t>
  </si>
  <si>
    <t>HPID883744</t>
  </si>
  <si>
    <t>HEAT EXCHANGER ASSEMBLY</t>
  </si>
  <si>
    <t>HPID883759</t>
  </si>
  <si>
    <t>BOTTOM PANEL ASSEMBLY (WITHOUT HEATER)</t>
  </si>
  <si>
    <t>HPID883778</t>
  </si>
  <si>
    <t>CIRCULATING WATER RETURN PORT ASSEMBLY</t>
  </si>
  <si>
    <t>HPID883782</t>
  </si>
  <si>
    <t>VIBRATION PROOF RUBBER</t>
  </si>
  <si>
    <t>HPID883784</t>
  </si>
  <si>
    <t>RUBBER HOSE (FOR RELIEF VALVE)</t>
  </si>
  <si>
    <t>HPID883786</t>
  </si>
  <si>
    <t>RUBBER HOSE 1</t>
  </si>
  <si>
    <t>HPID883790</t>
  </si>
  <si>
    <t xml:space="preserve">RUBBER HOSE 6 </t>
  </si>
  <si>
    <t>HPID883796</t>
  </si>
  <si>
    <t xml:space="preserve">COIL, 4-WAY VALVE </t>
  </si>
  <si>
    <t>HPID883798</t>
  </si>
  <si>
    <t>RELIEF VALVE</t>
  </si>
  <si>
    <t>HPID883847</t>
  </si>
  <si>
    <t>CASE OF PCB</t>
  </si>
  <si>
    <t>HPID6, HPID10</t>
  </si>
  <si>
    <t>HPID883848</t>
  </si>
  <si>
    <t>QUICK FASTENER (FOR SENSOR TEMP.WATER)</t>
  </si>
  <si>
    <t>HPID884117</t>
  </si>
  <si>
    <t>4-WAY VALVE</t>
  </si>
  <si>
    <t>HPID884118</t>
  </si>
  <si>
    <t>EXPANSION VALVE</t>
  </si>
  <si>
    <t>HPID884119</t>
  </si>
  <si>
    <t>COIL, EXPANSION VALVE</t>
  </si>
  <si>
    <t>HPID884126</t>
  </si>
  <si>
    <t>BACK PANEL (LEFT)</t>
  </si>
  <si>
    <t>HPID884129</t>
  </si>
  <si>
    <t>WIRING LID</t>
  </si>
  <si>
    <t>HPID884131</t>
  </si>
  <si>
    <t>DEFROST HEATER HOLDER 1</t>
  </si>
  <si>
    <t>HPID884132</t>
  </si>
  <si>
    <t>DEFROST HEATER HOLDER 2</t>
  </si>
  <si>
    <t>HPID10, HPID16</t>
  </si>
  <si>
    <t>HPID884135</t>
  </si>
  <si>
    <t>HPID884148</t>
  </si>
  <si>
    <t>QUICK FASTENER (16B)</t>
  </si>
  <si>
    <t>HPID884163</t>
  </si>
  <si>
    <t>HPID884212</t>
  </si>
  <si>
    <t>HPID884552</t>
  </si>
  <si>
    <t>TOP PANEL ASSEMBLY</t>
  </si>
  <si>
    <t>HPID884558</t>
  </si>
  <si>
    <t>TOP PANEL</t>
  </si>
  <si>
    <t>HPID884560</t>
  </si>
  <si>
    <t>CIRCULATING WATER OUTGOING PORT ASSEMBLY</t>
  </si>
  <si>
    <t>HPID884561</t>
  </si>
  <si>
    <t>RUBBER HOSE 8</t>
  </si>
  <si>
    <t>HPID885257</t>
  </si>
  <si>
    <t>BACK PANEL ASSYEMBLY (RIGHT)</t>
  </si>
  <si>
    <t>HPID885258</t>
  </si>
  <si>
    <t>HPID885262</t>
  </si>
  <si>
    <t>HPID885266</t>
  </si>
  <si>
    <t>AIR PURGE VALVE</t>
  </si>
  <si>
    <t>HPID885267</t>
  </si>
  <si>
    <t>CIRCULATING WATER PIPE ASSEMBLY</t>
  </si>
  <si>
    <t>HPID885269</t>
  </si>
  <si>
    <t>CIRCULATING WATER RETURN PORT</t>
  </si>
  <si>
    <t>HPID885270</t>
  </si>
  <si>
    <t>HOSE COUPLING 1 ASSEMBLY (PUMP INPUT)</t>
  </si>
  <si>
    <t>HPID885271</t>
  </si>
  <si>
    <t>HOSE COUPLING 2 (PUMP OUTLET)</t>
  </si>
  <si>
    <t>HPID885272</t>
  </si>
  <si>
    <t>HOSE COUPLING 3 (PUMP OUTLET)</t>
  </si>
  <si>
    <t>HPID885273</t>
  </si>
  <si>
    <t>RUBBER HOSE (PUMP INLET WATER)</t>
  </si>
  <si>
    <t>HPID885274</t>
  </si>
  <si>
    <t>RUBBER HOSE (PUMP OUTLET)</t>
  </si>
  <si>
    <t>HPID885275</t>
  </si>
  <si>
    <t>RUBBER HOSE</t>
  </si>
  <si>
    <t>HPID885394</t>
  </si>
  <si>
    <t>HPID885395</t>
  </si>
  <si>
    <t>CIRCULATING WATER CONNECTION COUPLING</t>
  </si>
  <si>
    <t>HPID885396</t>
  </si>
  <si>
    <t>RUBBER HOSE 3</t>
  </si>
  <si>
    <t>HPID885397</t>
  </si>
  <si>
    <t>RUBBER HOSE 4</t>
  </si>
  <si>
    <t>HPID885504</t>
  </si>
  <si>
    <t>HPID885506</t>
  </si>
  <si>
    <t>HPID885507</t>
  </si>
  <si>
    <t>HPID885509</t>
  </si>
  <si>
    <t>HPID885511</t>
  </si>
  <si>
    <t>HPID885516</t>
  </si>
  <si>
    <t>HOSE COUPLING 1 ASSEMBLY (PUMP INLET)</t>
  </si>
  <si>
    <t>HPID885517</t>
  </si>
  <si>
    <t>RUBBER HOSE (PUMP OUTLET WATER)</t>
  </si>
  <si>
    <t>HPID885519</t>
  </si>
  <si>
    <t>DRAIN PLUG</t>
  </si>
  <si>
    <t>HPID885520</t>
  </si>
  <si>
    <t>HPID885766</t>
  </si>
  <si>
    <t xml:space="preserve">FRONT PANEL ASSEMBLY  </t>
  </si>
  <si>
    <t>HPID885767</t>
  </si>
  <si>
    <t xml:space="preserve">FRONT PANEL ASSEMBLY (LEFT) </t>
  </si>
  <si>
    <t>HPID885768</t>
  </si>
  <si>
    <t>FRONT PANEL ASSEMBLY (RIGHT)</t>
  </si>
  <si>
    <t>HPID885769</t>
  </si>
  <si>
    <t>BACK PANEL ASSEMBLY</t>
  </si>
  <si>
    <t>HPID885770</t>
  </si>
  <si>
    <t>HPID885783</t>
  </si>
  <si>
    <t>Corner Cover Set (Top Panel) PK of 4</t>
  </si>
  <si>
    <t>HPID90ELBOW11/4</t>
  </si>
  <si>
    <t>1"1/4 MALE TO 1" 1/4 FEMALE S/S 90 ELBOW FOR 35MM HOSE</t>
  </si>
  <si>
    <t>HPID922928</t>
  </si>
  <si>
    <t>HPID927359</t>
  </si>
  <si>
    <t>HPID927368</t>
  </si>
  <si>
    <t>OUTLET GRILLE</t>
  </si>
  <si>
    <t>HPID927535</t>
  </si>
  <si>
    <t>HOSE BAND B</t>
  </si>
  <si>
    <t>HPID934914</t>
  </si>
  <si>
    <t>HOSE BAND C</t>
  </si>
  <si>
    <t>HPID6, HPID16</t>
  </si>
  <si>
    <t>HPID934947</t>
  </si>
  <si>
    <t>BRACKET, MOTOR</t>
  </si>
  <si>
    <t>HPID934959</t>
  </si>
  <si>
    <t>HPID934970</t>
  </si>
  <si>
    <t>RUBBER HOSE (RELIEF VALVE)</t>
  </si>
  <si>
    <t>HPID937023</t>
  </si>
  <si>
    <t>HPID937196</t>
  </si>
  <si>
    <t xml:space="preserve">COIL, EXPANSION VALVE </t>
  </si>
  <si>
    <t>HPID937221</t>
  </si>
  <si>
    <t>HOSE BAND A</t>
  </si>
  <si>
    <t>HPID937262</t>
  </si>
  <si>
    <t>WIRING LID ASSEMBLY</t>
  </si>
  <si>
    <t>HPID938106</t>
  </si>
  <si>
    <t>HPID938113</t>
  </si>
  <si>
    <t xml:space="preserve">4-WAY VALVE </t>
  </si>
  <si>
    <t>HPID963516</t>
  </si>
  <si>
    <t>QUICK FASTENER (16A)</t>
  </si>
  <si>
    <t>Biomass</t>
  </si>
  <si>
    <t>Spira Augers &amp; Burners</t>
  </si>
  <si>
    <t>WPB6/26</t>
  </si>
  <si>
    <t>Burner</t>
  </si>
  <si>
    <t>Spira 6-26kW</t>
  </si>
  <si>
    <t>WPB9/36</t>
  </si>
  <si>
    <t>Spira 9-36KW</t>
  </si>
  <si>
    <t>WPS167</t>
  </si>
  <si>
    <t>Single hopper right hand auger c/w motor</t>
  </si>
  <si>
    <t>Spira  5-36KW</t>
  </si>
  <si>
    <t>WPS167X</t>
  </si>
  <si>
    <t>Single hopper left hand auger c/w motor</t>
  </si>
  <si>
    <t>WPS169</t>
  </si>
  <si>
    <t>Central hopper right hand auger c/w motor</t>
  </si>
  <si>
    <t>Spira 12-72KW</t>
  </si>
  <si>
    <t>WPS169X</t>
  </si>
  <si>
    <t>Central hopper left hand auger c/w motor</t>
  </si>
  <si>
    <t>Spira Burner Spares</t>
  </si>
  <si>
    <t>WPS03</t>
  </si>
  <si>
    <t>Burner Fan</t>
  </si>
  <si>
    <t>Spira</t>
  </si>
  <si>
    <t>WPS05</t>
  </si>
  <si>
    <t>LED Display</t>
  </si>
  <si>
    <t>WPS06</t>
  </si>
  <si>
    <t>LED Display support</t>
  </si>
  <si>
    <t>WPS07</t>
  </si>
  <si>
    <t xml:space="preserve">Electrical Connector 7-way Female </t>
  </si>
  <si>
    <t>WPS08</t>
  </si>
  <si>
    <t xml:space="preserve">Electrical Connector 7-way Male </t>
  </si>
  <si>
    <t>Photocell</t>
  </si>
  <si>
    <t>WPS10A</t>
  </si>
  <si>
    <t>WPS10B</t>
  </si>
  <si>
    <t>WPS11</t>
  </si>
  <si>
    <t xml:space="preserve">Pellet Feed Thermostat </t>
  </si>
  <si>
    <t>WPS112</t>
  </si>
  <si>
    <t>circuit board</t>
  </si>
  <si>
    <t>Spira 6-26KW</t>
  </si>
  <si>
    <t>WPS112B</t>
  </si>
  <si>
    <t>Circuit Board</t>
  </si>
  <si>
    <t>WPS112C</t>
  </si>
  <si>
    <t>Spira 5-18KW</t>
  </si>
  <si>
    <t>WPS12</t>
  </si>
  <si>
    <t>Thermostat Cover for Pellet Feed Tube</t>
  </si>
  <si>
    <t xml:space="preserve">Spira  </t>
  </si>
  <si>
    <t>WPS13</t>
  </si>
  <si>
    <t>Pellet Feed Tube</t>
  </si>
  <si>
    <t>WPS130X</t>
  </si>
  <si>
    <t>WPS14</t>
  </si>
  <si>
    <t>Gasket for Pellet Tube</t>
  </si>
  <si>
    <t>WPS15</t>
  </si>
  <si>
    <t>Mounting Gasket</t>
  </si>
  <si>
    <t>WPS17</t>
  </si>
  <si>
    <t xml:space="preserve">Tube for Photocell </t>
  </si>
  <si>
    <t>WPS176</t>
  </si>
  <si>
    <t>Draught test point ball</t>
  </si>
  <si>
    <t>WPS18</t>
  </si>
  <si>
    <t xml:space="preserve">Electrical Connector 6-way Male </t>
  </si>
  <si>
    <t>WPS18F</t>
  </si>
  <si>
    <t>electrical connector 6 way female</t>
  </si>
  <si>
    <t>WPS19</t>
  </si>
  <si>
    <t>Brazier Chassis</t>
  </si>
  <si>
    <t>WPS199</t>
  </si>
  <si>
    <t>brazier measuring tool</t>
  </si>
  <si>
    <t>WPS22</t>
  </si>
  <si>
    <t>Ignition Element Mounting Plate</t>
  </si>
  <si>
    <t>WPS23</t>
  </si>
  <si>
    <t xml:space="preserve">Back Plate for Photocell </t>
  </si>
  <si>
    <t>WPS24</t>
  </si>
  <si>
    <t>Gasket for Burner Fan</t>
  </si>
  <si>
    <t>WPS27</t>
  </si>
  <si>
    <t>controls chassisback plate &amp; base</t>
  </si>
  <si>
    <t>WPS28</t>
  </si>
  <si>
    <t>main burner cover</t>
  </si>
  <si>
    <t>WPS29X</t>
  </si>
  <si>
    <t>Flame Hood 5-26</t>
  </si>
  <si>
    <t>Spira 5-26KW</t>
  </si>
  <si>
    <t>WPS29Y</t>
  </si>
  <si>
    <t>Flame Hood 9-36</t>
  </si>
  <si>
    <t>WPS31</t>
  </si>
  <si>
    <t>Coach Bolt M5 X 15 (pack of 8)</t>
  </si>
  <si>
    <t>WPS32A</t>
  </si>
  <si>
    <t xml:space="preserve">Grate Enclosure </t>
  </si>
  <si>
    <t>WPS32B</t>
  </si>
  <si>
    <t>Grate Enclosure</t>
  </si>
  <si>
    <t>WPS33A</t>
  </si>
  <si>
    <t>Brazier Base Assembly</t>
  </si>
  <si>
    <t>WPS33B</t>
  </si>
  <si>
    <t>Spira Hopper Spares</t>
  </si>
  <si>
    <t>WPS147</t>
  </si>
  <si>
    <t>Castor Wheel Flange</t>
  </si>
  <si>
    <t>WPS149</t>
  </si>
  <si>
    <t>Pellet Feed Auger Shield</t>
  </si>
  <si>
    <t>WPS152</t>
  </si>
  <si>
    <t>Grid</t>
  </si>
  <si>
    <t>WPS154</t>
  </si>
  <si>
    <t>Hopper Door Hinge</t>
  </si>
  <si>
    <t>WPS160</t>
  </si>
  <si>
    <t>wiring centre</t>
  </si>
  <si>
    <t>WPS161</t>
  </si>
  <si>
    <t>pellet damper</t>
  </si>
  <si>
    <t>WPS163</t>
  </si>
  <si>
    <t>wiring centre access cover</t>
  </si>
  <si>
    <t>WPS164</t>
  </si>
  <si>
    <t>Low Limit Switch</t>
  </si>
  <si>
    <t>WPS165</t>
  </si>
  <si>
    <t>Limit Switch Bracket</t>
  </si>
  <si>
    <t>WPS175</t>
  </si>
  <si>
    <t>hopper selector switch</t>
  </si>
  <si>
    <t>Spira Spares</t>
  </si>
  <si>
    <t>MPSS02</t>
  </si>
  <si>
    <t>Water pressure Gauge</t>
  </si>
  <si>
    <t>WPS100</t>
  </si>
  <si>
    <t>Ash Pan</t>
  </si>
  <si>
    <t>WPS101</t>
  </si>
  <si>
    <t>WPS102</t>
  </si>
  <si>
    <t>Cleaning Door Rope</t>
  </si>
  <si>
    <t>WPS103</t>
  </si>
  <si>
    <t>burner cleaning door complete wp boiler</t>
  </si>
  <si>
    <t>WPS105</t>
  </si>
  <si>
    <t>Front Panel</t>
  </si>
  <si>
    <t>WPS106</t>
  </si>
  <si>
    <t>Cleaning Door Handle</t>
  </si>
  <si>
    <t>WPS107</t>
  </si>
  <si>
    <t>High Limit Stat</t>
  </si>
  <si>
    <t>WPS108</t>
  </si>
  <si>
    <t>Boiler Momentry Switch (double pole on/off)</t>
  </si>
  <si>
    <t>WPS109</t>
  </si>
  <si>
    <t>Control Panel Chassis</t>
  </si>
  <si>
    <t>WPS110</t>
  </si>
  <si>
    <t>WPS111</t>
  </si>
  <si>
    <t>Pressure Switch</t>
  </si>
  <si>
    <t>WPS145</t>
  </si>
  <si>
    <t>Secondary Cleaning Door &amp; Gasket Pre Nov 14</t>
  </si>
  <si>
    <t>WPS145A</t>
  </si>
  <si>
    <t>Secondary Cleaning Door &amp; Gasket Post Nov 14</t>
  </si>
  <si>
    <t>WPS146</t>
  </si>
  <si>
    <t>Caster Wheel with Brake</t>
  </si>
  <si>
    <t>WPS157</t>
  </si>
  <si>
    <t>Caster Wheel no Brake</t>
  </si>
  <si>
    <t>WPS159</t>
  </si>
  <si>
    <t>rubber diaphragm</t>
  </si>
  <si>
    <t>WPS166X</t>
  </si>
  <si>
    <t>Motor for Auger</t>
  </si>
  <si>
    <t>WPS168</t>
  </si>
  <si>
    <t>external auger motor</t>
  </si>
  <si>
    <t>WPS172</t>
  </si>
  <si>
    <t>cam for shaker chamber</t>
  </si>
  <si>
    <t>WPS173</t>
  </si>
  <si>
    <t>wood pellet flue box air dampner</t>
  </si>
  <si>
    <t>WPS174A</t>
  </si>
  <si>
    <t>Pellet feed elbow quick release</t>
  </si>
  <si>
    <t>WPS178</t>
  </si>
  <si>
    <t>air restrictor plate</t>
  </si>
  <si>
    <t>WPS200</t>
  </si>
  <si>
    <t xml:space="preserve">Cam pin &amp; nut </t>
  </si>
  <si>
    <t>Spira 6-36kW</t>
  </si>
  <si>
    <t>WPS25</t>
  </si>
  <si>
    <t>Boiler Water Thermostat</t>
  </si>
  <si>
    <t>WPS30</t>
  </si>
  <si>
    <t xml:space="preserve">HEAT SHIELD X2  FOR FLAME HOOD </t>
  </si>
  <si>
    <t>WPS34</t>
  </si>
  <si>
    <t>rear lower panel</t>
  </si>
  <si>
    <t>WPS35</t>
  </si>
  <si>
    <t>5-way Main Connection Male</t>
  </si>
  <si>
    <t>WPS36</t>
  </si>
  <si>
    <t>rear upper panel woodpellet boiler</t>
  </si>
  <si>
    <t>WPS37</t>
  </si>
  <si>
    <t>5-way Main Connection Female</t>
  </si>
  <si>
    <t>WPS38</t>
  </si>
  <si>
    <t>flue fan cleaning solenoid male</t>
  </si>
  <si>
    <t>WPS39</t>
  </si>
  <si>
    <t>flue fan cleaning solenoid female</t>
  </si>
  <si>
    <t>WPS40</t>
  </si>
  <si>
    <t>Flue Fan Sealing Gasket</t>
  </si>
  <si>
    <t>WPS41</t>
  </si>
  <si>
    <t>Fan Box</t>
  </si>
  <si>
    <t>Spira Pre Sept 2014</t>
  </si>
  <si>
    <t>WPS44</t>
  </si>
  <si>
    <t>Secondary  Cleaning Door &amp; Gasket</t>
  </si>
  <si>
    <t>Spira 5-26KW Pre Nov 2014</t>
  </si>
  <si>
    <t>WPS44A</t>
  </si>
  <si>
    <t xml:space="preserve">Secondary  Cleaning Door &amp; Gasket </t>
  </si>
  <si>
    <t>Spira 5-26KW Post Nov 2014</t>
  </si>
  <si>
    <t>WPS46</t>
  </si>
  <si>
    <t>Flue Fan</t>
  </si>
  <si>
    <t>WPS48</t>
  </si>
  <si>
    <t>air vent manifold</t>
  </si>
  <si>
    <t>WPS49</t>
  </si>
  <si>
    <t xml:space="preserve">22mm secondary to primary pipe </t>
  </si>
  <si>
    <t>WPS50</t>
  </si>
  <si>
    <t>22mm secondary to primary pipe</t>
  </si>
  <si>
    <t>WPS51</t>
  </si>
  <si>
    <t>return assembly</t>
  </si>
  <si>
    <t>WPS52</t>
  </si>
  <si>
    <t>WPS53</t>
  </si>
  <si>
    <t>1" bsp flow pipe</t>
  </si>
  <si>
    <t>WPS54</t>
  </si>
  <si>
    <t>1 1/4 " bsp flow pipe</t>
  </si>
  <si>
    <t>WPS55</t>
  </si>
  <si>
    <t>Draft Stabiliser</t>
  </si>
  <si>
    <t>WPS56</t>
  </si>
  <si>
    <t>Fan Box Secondary Gasket</t>
  </si>
  <si>
    <t>WPS56A</t>
  </si>
  <si>
    <t xml:space="preserve">fan box access door gasket </t>
  </si>
  <si>
    <t>WPS57</t>
  </si>
  <si>
    <t xml:space="preserve">Secondary Spiral Baffle S/S (1.5mm) </t>
  </si>
  <si>
    <t>Secondary Heat Exchanger</t>
  </si>
  <si>
    <t>WPS61</t>
  </si>
  <si>
    <t>WPS62</t>
  </si>
  <si>
    <t>Shaker Arm Assembly</t>
  </si>
  <si>
    <t>WPS63</t>
  </si>
  <si>
    <t>WPS64</t>
  </si>
  <si>
    <t>Spring Anchor (fixed)</t>
  </si>
  <si>
    <t>WPS65</t>
  </si>
  <si>
    <t>Shaker Camber</t>
  </si>
  <si>
    <t>WPS66</t>
  </si>
  <si>
    <t>WPS72</t>
  </si>
  <si>
    <t>Cleaning Door for Shaker Chamber</t>
  </si>
  <si>
    <t>WPS73</t>
  </si>
  <si>
    <t>WPS74</t>
  </si>
  <si>
    <t>Fibre Rope for Shaker Chamber</t>
  </si>
  <si>
    <t>WPS76</t>
  </si>
  <si>
    <t>Solenoid Valve</t>
  </si>
  <si>
    <t>WPS77</t>
  </si>
  <si>
    <t>Primary Spiral Baffle (3mm)</t>
  </si>
  <si>
    <t>WPS78</t>
  </si>
  <si>
    <t>Spiral Hanger</t>
  </si>
  <si>
    <t>WPS79</t>
  </si>
  <si>
    <t>WPS81</t>
  </si>
  <si>
    <t>spring anchor movable</t>
  </si>
  <si>
    <t>WPS82</t>
  </si>
  <si>
    <t xml:space="preserve">Cleaning Door Mechanism Spring </t>
  </si>
  <si>
    <t>WPS85</t>
  </si>
  <si>
    <t>cleaning mechanism cam</t>
  </si>
  <si>
    <t>WPS85B</t>
  </si>
  <si>
    <t>Grub screw (for cleaning mechanism)</t>
  </si>
  <si>
    <t>WPS86</t>
  </si>
  <si>
    <t>mounting flange- cleaning motor</t>
  </si>
  <si>
    <t>WPS88</t>
  </si>
  <si>
    <t>door interlock microswitch wp boilers</t>
  </si>
  <si>
    <t>WPS89</t>
  </si>
  <si>
    <t>shaker chamber mounting gasket</t>
  </si>
  <si>
    <t>WPS93</t>
  </si>
  <si>
    <t>brass fitting 1" bsp x 22mm 311</t>
  </si>
  <si>
    <t>WPS94</t>
  </si>
  <si>
    <t xml:space="preserve">1 1/4"  x 28mm  bsp brass fitting </t>
  </si>
  <si>
    <t>WPS97</t>
  </si>
  <si>
    <t>combustion chamber baffle</t>
  </si>
  <si>
    <t>WPS99</t>
  </si>
  <si>
    <t>ash pan handles</t>
  </si>
  <si>
    <t>WPSWASHDOWN6-26</t>
  </si>
  <si>
    <t>Washdown kit</t>
  </si>
  <si>
    <t>WPSWASHDOWN9-36</t>
  </si>
  <si>
    <t>SpiraVac Spares</t>
  </si>
  <si>
    <t>WPV01</t>
  </si>
  <si>
    <t>SpiraVac</t>
  </si>
  <si>
    <t>WPV02</t>
  </si>
  <si>
    <t>Programmable Relay</t>
  </si>
  <si>
    <t>WPV03</t>
  </si>
  <si>
    <t>air pressure switch</t>
  </si>
  <si>
    <t>WPV04</t>
  </si>
  <si>
    <t xml:space="preserve">11 pin relay base </t>
  </si>
  <si>
    <t>WPV05</t>
  </si>
  <si>
    <t>11 pin relay</t>
  </si>
  <si>
    <t>WPV06</t>
  </si>
  <si>
    <t>relay clip</t>
  </si>
  <si>
    <t>WPV07</t>
  </si>
  <si>
    <t xml:space="preserve">motor &amp; gearbox </t>
  </si>
  <si>
    <t>WPV08</t>
  </si>
  <si>
    <t xml:space="preserve">isolator </t>
  </si>
  <si>
    <t>WPV09</t>
  </si>
  <si>
    <t>auger spiral</t>
  </si>
  <si>
    <t>WPV10</t>
  </si>
  <si>
    <t>auger shaft</t>
  </si>
  <si>
    <t>WPV11</t>
  </si>
  <si>
    <t xml:space="preserve">auger clamp </t>
  </si>
  <si>
    <t>WPV12</t>
  </si>
  <si>
    <t>m8 bolts</t>
  </si>
  <si>
    <t>WPV13F</t>
  </si>
  <si>
    <t>3 pin female plug</t>
  </si>
  <si>
    <t>WPV13M</t>
  </si>
  <si>
    <t>3 pin male plug</t>
  </si>
  <si>
    <t>WPV15F</t>
  </si>
  <si>
    <t>6 pin female plug</t>
  </si>
  <si>
    <t>WPV15M</t>
  </si>
  <si>
    <t>6 pin male plug</t>
  </si>
  <si>
    <t>WPV16</t>
  </si>
  <si>
    <t xml:space="preserve">air hose tube </t>
  </si>
  <si>
    <t>WPV18</t>
  </si>
  <si>
    <t>view cover</t>
  </si>
  <si>
    <t>WPV19</t>
  </si>
  <si>
    <t>filter unit</t>
  </si>
  <si>
    <t>WPV20</t>
  </si>
  <si>
    <t>bubble gasket</t>
  </si>
  <si>
    <t>WPV21</t>
  </si>
  <si>
    <t>fully programmed smart relay</t>
  </si>
  <si>
    <t>WPV22F</t>
  </si>
  <si>
    <t xml:space="preserve">4 pin female mains plug </t>
  </si>
  <si>
    <t>WPV22M</t>
  </si>
  <si>
    <t xml:space="preserve">4 pin male mains plug </t>
  </si>
  <si>
    <t>WPVDAM110</t>
  </si>
  <si>
    <t>Dam</t>
  </si>
  <si>
    <t>110KG Hopper</t>
  </si>
  <si>
    <t>WPVDAM140</t>
  </si>
  <si>
    <t>140KG Hopper</t>
  </si>
  <si>
    <t>WPVDAM200</t>
  </si>
  <si>
    <t>dam</t>
  </si>
  <si>
    <t>200KG Hopper</t>
  </si>
  <si>
    <t>Vecta Spares</t>
  </si>
  <si>
    <t>VEC001</t>
  </si>
  <si>
    <t>FRONT DOOR LOCK &amp; KEYS</t>
  </si>
  <si>
    <t>Vecta</t>
  </si>
  <si>
    <t>VEC002</t>
  </si>
  <si>
    <t>ELECTRICAL ISOLATION SWITCH</t>
  </si>
  <si>
    <t>VEC002A</t>
  </si>
  <si>
    <t>ON/OFF DIAL FOR ISOLATION SWITCH (VECOO2) C/W TURN BAR</t>
  </si>
  <si>
    <t>VEC003</t>
  </si>
  <si>
    <t>DISPLAY BOARD (LED SCREEN)</t>
  </si>
  <si>
    <t>VEC004</t>
  </si>
  <si>
    <t>ON / OFF SWITCH</t>
  </si>
  <si>
    <t>VEC005</t>
  </si>
  <si>
    <t>VECTA PCB BOARD</t>
  </si>
  <si>
    <t>VEC006</t>
  </si>
  <si>
    <t>POWER UNIT FOR PCB BOARD</t>
  </si>
  <si>
    <t>VEC007</t>
  </si>
  <si>
    <t>LAMBDA SENSOR</t>
  </si>
  <si>
    <t>VEC008</t>
  </si>
  <si>
    <t>LAMBDA SENSOR PCB BOARD</t>
  </si>
  <si>
    <t>VEC009</t>
  </si>
  <si>
    <t>COMPLETE HEAT EXCHANGER COVER COMPLETE WITH MANIFOLD</t>
  </si>
  <si>
    <t>VEC010</t>
  </si>
  <si>
    <t>NOZZLE TUBE (FOR WASHDOWN)</t>
  </si>
  <si>
    <t>VEC011</t>
  </si>
  <si>
    <t>NOZZLE HOLDER (FOR WASHDOWN)</t>
  </si>
  <si>
    <t>VEC012</t>
  </si>
  <si>
    <t>PRIMARY HEAT EXCHANGER SPIRALS</t>
  </si>
  <si>
    <t>VEC013</t>
  </si>
  <si>
    <t>SECONDARY HEAT EXCHANGER SPIARLS (LHS - 41/2 TURNS)</t>
  </si>
  <si>
    <t>VEC014</t>
  </si>
  <si>
    <t>SECONDARY HEAT EXCHANGER SPIARLS (LHS - 21/2 TURNS)</t>
  </si>
  <si>
    <t>VEC015</t>
  </si>
  <si>
    <t>SHAKER BOX GASKET</t>
  </si>
  <si>
    <t>VEC018</t>
  </si>
  <si>
    <t>ASH PAN</t>
  </si>
  <si>
    <t>VEC019</t>
  </si>
  <si>
    <t>MULTI PURPOSE TOOL</t>
  </si>
  <si>
    <t>VEC020</t>
  </si>
  <si>
    <t>VERTICAL COMBUSTION CHAMBER BAFFLE</t>
  </si>
  <si>
    <t>VEC021</t>
  </si>
  <si>
    <t>HORIZONTAL COMBUSTION CHAMBER BAFFLE</t>
  </si>
  <si>
    <t>VEC022</t>
  </si>
  <si>
    <t>BRAZIER FRONT PLATE C/W CATCH</t>
  </si>
  <si>
    <t>VEC023</t>
  </si>
  <si>
    <t>BRAZIER BASE PLATE</t>
  </si>
  <si>
    <t>VEC024</t>
  </si>
  <si>
    <t>COMPLETE BRAZIER ASSEMBLY</t>
  </si>
  <si>
    <t>VEC025</t>
  </si>
  <si>
    <t>FLAME POT</t>
  </si>
  <si>
    <t>VEC026</t>
  </si>
  <si>
    <t>AIR PRESSURE SWITCH</t>
  </si>
  <si>
    <t>VEC027</t>
  </si>
  <si>
    <t>MANUAL AIR VENT</t>
  </si>
  <si>
    <t>VEC028</t>
  </si>
  <si>
    <t>FLUE FAN MOTOR</t>
  </si>
  <si>
    <t>VEC029</t>
  </si>
  <si>
    <t>ACTUATOR BOARD</t>
  </si>
  <si>
    <t>VEC030</t>
  </si>
  <si>
    <t>FIRE DAMPER MOTOR (BELIMO)</t>
  </si>
  <si>
    <t>VEC031</t>
  </si>
  <si>
    <t>LINEAR MOTOR (LYNEX)</t>
  </si>
  <si>
    <t xml:space="preserve">Cylinders </t>
  </si>
  <si>
    <t>Cylinder Spares</t>
  </si>
  <si>
    <t>GCS01A</t>
  </si>
  <si>
    <t>18 litre expansion vessel (¾" BSP) c/w hose</t>
  </si>
  <si>
    <t>Cylinders post Nov 2012</t>
  </si>
  <si>
    <t>GCS02</t>
  </si>
  <si>
    <t>Expansion vessel hose (¾" BSPF x ¾" BSPM)</t>
  </si>
  <si>
    <t>GCS04A</t>
  </si>
  <si>
    <t>25 litre expansion vessel (¾" BSP) c/w hose</t>
  </si>
  <si>
    <t>GCS05A</t>
  </si>
  <si>
    <t>33 litre expansion vessel (¾" BSP) c/w hose</t>
  </si>
  <si>
    <t>GCS07</t>
  </si>
  <si>
    <t>Pressure reducing inlet manifold (22mm) c/w 3 bar PRV and 6 bar expansion relief valve</t>
  </si>
  <si>
    <t>GCS07G</t>
  </si>
  <si>
    <t>Cylinders pre Nov 2010</t>
  </si>
  <si>
    <t>GCS08</t>
  </si>
  <si>
    <t xml:space="preserve">6 Bar Pressure relief valve (push fit) </t>
  </si>
  <si>
    <t>GCS09</t>
  </si>
  <si>
    <t>Temperature &amp; pressure valve (½" M parallel x 15mm compression) - 90°C/7 bar
Probe length: 97mm</t>
  </si>
  <si>
    <t>Up to 300 lt models</t>
  </si>
  <si>
    <t>GCS10</t>
  </si>
  <si>
    <t>Tundish (15mm x 22mm) c/w plastic nuts</t>
  </si>
  <si>
    <t>All models post Nov 2010, up 300lt pre Nov 2010</t>
  </si>
  <si>
    <t>GCS11</t>
  </si>
  <si>
    <t xml:space="preserve">Control / limit immersion thermostat 25°C/65°C adjustable &amp; 80°C limit c/w ½" pocket </t>
  </si>
  <si>
    <t>GCS13</t>
  </si>
  <si>
    <t xml:space="preserve">Immersion heater (element) &amp; stat </t>
  </si>
  <si>
    <t>GCS14</t>
  </si>
  <si>
    <t xml:space="preserve">Elbow / drain cock </t>
  </si>
  <si>
    <t>GCS17</t>
  </si>
  <si>
    <t>Temperature &amp; pressure valve (¾" M x 22mm compression) - 90°C/7 bar
Probe length: 99mm</t>
  </si>
  <si>
    <t>400 - 500 ltr models</t>
  </si>
  <si>
    <t>GCS18</t>
  </si>
  <si>
    <t xml:space="preserve">3 port motorised valve (22mm) </t>
  </si>
  <si>
    <t>GCS22</t>
  </si>
  <si>
    <t>Tundish (22mm x 1" F) c/w nut &amp; olive</t>
  </si>
  <si>
    <t>400lt models pre Nov 2012</t>
  </si>
  <si>
    <t>GCS23</t>
  </si>
  <si>
    <t>12 litre expansion vessel (¾" BSP)</t>
  </si>
  <si>
    <t>125 - 150 lt models</t>
  </si>
  <si>
    <t>GCS27A</t>
  </si>
  <si>
    <t>50 litre expansion vessel (1" BSP)</t>
  </si>
  <si>
    <t>Cylinders pre Nov 2012</t>
  </si>
  <si>
    <t>GCS31</t>
  </si>
  <si>
    <t xml:space="preserve">Immersion stat only </t>
  </si>
  <si>
    <t>GCS33</t>
  </si>
  <si>
    <t>Expansion vessel hose adaptor (1" female to ¾" male)</t>
  </si>
  <si>
    <t>400 Litre cylinders</t>
  </si>
  <si>
    <t>GCS34</t>
  </si>
  <si>
    <t>6 Bar Pressure relief valve (compression fitting)</t>
  </si>
  <si>
    <t>Post Nov 2010</t>
  </si>
  <si>
    <t>24 litre Expansion Vessel</t>
  </si>
  <si>
    <t>MAG ONE</t>
  </si>
  <si>
    <t>MagOne spares</t>
  </si>
  <si>
    <t>MagOne Filter</t>
  </si>
  <si>
    <t>VM12/X</t>
  </si>
  <si>
    <t xml:space="preserve">O-ring kit </t>
  </si>
  <si>
    <t>Oil</t>
  </si>
  <si>
    <t>Baffles &amp; Access doors</t>
  </si>
  <si>
    <t>EFBS09</t>
  </si>
  <si>
    <t>Baffle Set (295mm Sq. Top)</t>
  </si>
  <si>
    <t>Euroflame 50/90 &amp; 70/90 (post 1994)</t>
  </si>
  <si>
    <t>EFBS18</t>
  </si>
  <si>
    <t>Access/Combustion Door</t>
  </si>
  <si>
    <t>Euroflame 50/90, 70/90 &amp; 90/120 (pre Nov 2003)</t>
  </si>
  <si>
    <t>EFBS18X</t>
  </si>
  <si>
    <t>Combi70 MKII, Combi70 V3, Euroflame 50/70 (pre Nov 2003)</t>
  </si>
  <si>
    <t>EFBS20</t>
  </si>
  <si>
    <t xml:space="preserve">Access/Combustion Door </t>
  </si>
  <si>
    <t>Euroflame 50/90, 70/90 &amp; 90/120 (post Nov 2003)</t>
  </si>
  <si>
    <t>EFBS20X</t>
  </si>
  <si>
    <t>Combi70 MKII, Combi70 V3, Euroflame 50/70 (post Nov 2003)</t>
  </si>
  <si>
    <t>EFBS30</t>
  </si>
  <si>
    <t xml:space="preserve">Complete Baffle Set </t>
  </si>
  <si>
    <t>Combi70 MKII, Combi70 V3, Euroflame 50/70</t>
  </si>
  <si>
    <t>EFBS49</t>
  </si>
  <si>
    <t>Complete Baffle Set</t>
  </si>
  <si>
    <t>Euroflame 90/120</t>
  </si>
  <si>
    <t>MPBS12</t>
  </si>
  <si>
    <t>Multipass 50/70</t>
  </si>
  <si>
    <t>MPBS12X</t>
  </si>
  <si>
    <t>Bottom Baffle Set</t>
  </si>
  <si>
    <t>MPBS13</t>
  </si>
  <si>
    <t>Combi90 MKII, Multipass 70/90</t>
  </si>
  <si>
    <t>MPBS13X</t>
  </si>
  <si>
    <t xml:space="preserve">Bottom Baffle Set </t>
  </si>
  <si>
    <t>MPBS14</t>
  </si>
  <si>
    <t>Multipass 90/110</t>
  </si>
  <si>
    <t>MPBS15</t>
  </si>
  <si>
    <t>Multipass 90/140 &amp; 110/140</t>
  </si>
  <si>
    <t>MPBS15X</t>
  </si>
  <si>
    <t>MPBS16</t>
  </si>
  <si>
    <t>Combi90 MKII, Combi 90 V3, Multipass 50/70, 50/90 &amp; 70/90</t>
  </si>
  <si>
    <t>MPBS17</t>
  </si>
  <si>
    <t>Multipass 90/110 &amp; 90/140</t>
  </si>
  <si>
    <t>MPBS17L</t>
  </si>
  <si>
    <t>Multipass 140/200</t>
  </si>
  <si>
    <t>MPBS27</t>
  </si>
  <si>
    <t>Multipass 160/200</t>
  </si>
  <si>
    <t>MPBS28</t>
  </si>
  <si>
    <t>Multipass 140/160</t>
  </si>
  <si>
    <t>MPCBS110</t>
  </si>
  <si>
    <t>Vortex Pro Combi 26KW (pre Dec 2014)</t>
  </si>
  <si>
    <t>MPCBS110A</t>
  </si>
  <si>
    <t>Vortex Pro Combi 26KW (post Dec 2014)</t>
  </si>
  <si>
    <t>MPCBS110B</t>
  </si>
  <si>
    <t>Access/ Combusion Door</t>
  </si>
  <si>
    <t>Vortex Pro Combi 26kW (July 2017)</t>
  </si>
  <si>
    <t>MPCBS111A</t>
  </si>
  <si>
    <t>MPCBS51</t>
  </si>
  <si>
    <t>Combi90 V3</t>
  </si>
  <si>
    <t>MPCBS51X</t>
  </si>
  <si>
    <t>MPCBS52</t>
  </si>
  <si>
    <t>Combi MAX</t>
  </si>
  <si>
    <t>MPCBS52X</t>
  </si>
  <si>
    <t>TPBS23L</t>
  </si>
  <si>
    <t>Access/Combustion Door Rope Gasket</t>
  </si>
  <si>
    <t>Combi 90MKII, Combi 90V3, MP50/90, MP90/140</t>
  </si>
  <si>
    <t>TPBS24</t>
  </si>
  <si>
    <t>MP140/200</t>
  </si>
  <si>
    <t>VBS01</t>
  </si>
  <si>
    <t>Vortex Pro Combi 26KW, Vortex Pro 15 - 26KW</t>
  </si>
  <si>
    <t>VBS03</t>
  </si>
  <si>
    <t>Turbulators (476mm)</t>
  </si>
  <si>
    <t>Vortex Pro 46-70KW, Vortex Boiler House 46-70kW</t>
  </si>
  <si>
    <t>VBS04</t>
  </si>
  <si>
    <t>VBS05</t>
  </si>
  <si>
    <t xml:space="preserve">Turbulator (360mm) </t>
  </si>
  <si>
    <t>Vortex Pro Combi, Vortex Pro 15 - 46KW, Vortex Eco, Vortex Boiler House 15-46kW</t>
  </si>
  <si>
    <t>VBS10</t>
  </si>
  <si>
    <t>Vortex Pro Combi 36KW, Vortex Pro 26- 46KW</t>
  </si>
  <si>
    <t>VBS11</t>
  </si>
  <si>
    <t>VBS111</t>
  </si>
  <si>
    <t xml:space="preserve">Access/Combustion Door Rope Gasket </t>
  </si>
  <si>
    <t>Vortex Pro 46-70KW</t>
  </si>
  <si>
    <t>VBS137A</t>
  </si>
  <si>
    <t>VBS15</t>
  </si>
  <si>
    <t>Vortex Pro Combi 26KW, Vortex Pro 15 - 26KW, Vortex Eco 15-26KW</t>
  </si>
  <si>
    <t>VBS16</t>
  </si>
  <si>
    <t>Vortex Pro Combi 36KW, Vortex Pro 26- 46KW, Vortex Eco 26-35KW</t>
  </si>
  <si>
    <t>VBS36</t>
  </si>
  <si>
    <t>Vortex Pro Combi 36KW, Vortex Pro 26- 46KW, Vortex Boiler House 36-46kW</t>
  </si>
  <si>
    <t>VBS69X</t>
  </si>
  <si>
    <t>Vortex Pro 26- 46KW, Vortex Boiler House 36-46kW</t>
  </si>
  <si>
    <t>VBS69Z</t>
  </si>
  <si>
    <t>Vortex Pro Combi 36</t>
  </si>
  <si>
    <t>VBS69ZA</t>
  </si>
  <si>
    <t>Access/Combustion Door Vessel Bracket</t>
  </si>
  <si>
    <t>Vortex Pro Combi 36 (post Dec 2014)</t>
  </si>
  <si>
    <t>VBS76</t>
  </si>
  <si>
    <t>Vortex Pro 46-58KW, Vortex Boiler 46-58kW</t>
  </si>
  <si>
    <t>VBS77</t>
  </si>
  <si>
    <t>Vortex Pro 58-70KW, Vortex Boiler House 58-70kW</t>
  </si>
  <si>
    <t>VBS92</t>
  </si>
  <si>
    <t>Vortex Eco 15 - 26KW, Vortex Boiler House 15-26kW</t>
  </si>
  <si>
    <t>VBS93</t>
  </si>
  <si>
    <t>Vortex Pro Combi 21KW, Vortex Pro 15-21KW</t>
  </si>
  <si>
    <t>VBS93B</t>
  </si>
  <si>
    <t>Bottom Baffle</t>
  </si>
  <si>
    <t>VBS96</t>
  </si>
  <si>
    <t>VBS96A</t>
  </si>
  <si>
    <t>Base Baffle</t>
  </si>
  <si>
    <t>Vortex Eco 15 - 26KW</t>
  </si>
  <si>
    <t>VBS97</t>
  </si>
  <si>
    <t>Vortex Eco 26- 35KW, Vortex Boiler House 26-35kW</t>
  </si>
  <si>
    <t>WBS01</t>
  </si>
  <si>
    <t>Turbulator</t>
  </si>
  <si>
    <t>Vortex Eco Wall Hung Internal 12-21 KW</t>
  </si>
  <si>
    <t>WBS03</t>
  </si>
  <si>
    <t>Vortex Eco Wall Hung 12-21KW</t>
  </si>
  <si>
    <t>WBS03A</t>
  </si>
  <si>
    <t>WBS04</t>
  </si>
  <si>
    <t>Combustion Door</t>
  </si>
  <si>
    <t>WBS05</t>
  </si>
  <si>
    <t>Burners</t>
  </si>
  <si>
    <t>Vortex Pro 26-36KW</t>
  </si>
  <si>
    <t>Vortex Pro 36-46KW</t>
  </si>
  <si>
    <t>Vortex Eco Wall hung 12-16kW</t>
  </si>
  <si>
    <t>Vortex Eco Wall hung 16-21kW</t>
  </si>
  <si>
    <t>RDB3514104</t>
  </si>
  <si>
    <t>RDB Burner</t>
  </si>
  <si>
    <t>Vortex 15-21kW, Vortex Combi 21kW (standard yellow flame models)</t>
  </si>
  <si>
    <t>RDB3514204</t>
  </si>
  <si>
    <t>Vortex 15-26kW, Vortex Combi 26kW (standard yellow flame models)</t>
  </si>
  <si>
    <t>RDB3513610</t>
  </si>
  <si>
    <t>Vortex 26-36kW, Vortex Combi 36kW (standard yellow flame models)</t>
  </si>
  <si>
    <t>RDB3514501</t>
  </si>
  <si>
    <t>Vortex 36-46kW (standard yellow flame models)</t>
  </si>
  <si>
    <t>RDB3748920</t>
  </si>
  <si>
    <t>Vortex 46-58kW (standard yellow flame models)</t>
  </si>
  <si>
    <t>RDB3748921</t>
  </si>
  <si>
    <t>Vortex 58-70kW (standard yellow flame models)</t>
  </si>
  <si>
    <t>RDB20147321</t>
  </si>
  <si>
    <t>RDB Low NOx Burner</t>
  </si>
  <si>
    <t>Vortex 15-21kW, Vortex Combi 21kW (low NOx models)</t>
  </si>
  <si>
    <t>RDB20094977</t>
  </si>
  <si>
    <t>Vortex Pro 15/26kW (low NOx models)</t>
  </si>
  <si>
    <t>RDB20109931</t>
  </si>
  <si>
    <t>Vortex 26-36kW (low NOx models)</t>
  </si>
  <si>
    <t>RDB20110334</t>
  </si>
  <si>
    <t>Vortex 36-46kW (low NOx models)</t>
  </si>
  <si>
    <t>RDB20147322</t>
  </si>
  <si>
    <t>Vortex Combi 26kW (low NOx models)</t>
  </si>
  <si>
    <t>RDB20147346</t>
  </si>
  <si>
    <t>Vortex Eco 21-26kW (low NOx models)</t>
  </si>
  <si>
    <t>RDB20147350</t>
  </si>
  <si>
    <t>Vortex Combi 36kW (low NOx models)</t>
  </si>
  <si>
    <t>RDB1NEUTRALBURNER</t>
  </si>
  <si>
    <t>RDB 1 Neutral burner</t>
  </si>
  <si>
    <t>Riello RDB Neutral</t>
  </si>
  <si>
    <t>RDB2NEUTRALBURNER</t>
  </si>
  <si>
    <t>RDB 2 Neutral burner</t>
  </si>
  <si>
    <t>RDB3NEUTRALBURNER</t>
  </si>
  <si>
    <t>RDB 3 Neutral burner</t>
  </si>
  <si>
    <t>RDB4NEUTRALBURNER</t>
  </si>
  <si>
    <t>RDB 4 Neutral burner</t>
  </si>
  <si>
    <t>WMB12/16LN</t>
  </si>
  <si>
    <t>Ecoflam MAX1 LN Burner WM12/16</t>
  </si>
  <si>
    <t>WMB16/21LN</t>
  </si>
  <si>
    <t>Ecoflam MAX1 LN Burner WM16/21</t>
  </si>
  <si>
    <t>Burners - Ecoflam spares</t>
  </si>
  <si>
    <t>EBS01</t>
  </si>
  <si>
    <t>Oil Pump</t>
  </si>
  <si>
    <t>Ecoflam MAX1, MAX1 LN</t>
  </si>
  <si>
    <t>EBS02</t>
  </si>
  <si>
    <t>Coil</t>
  </si>
  <si>
    <t>Ecoflam MAX1</t>
  </si>
  <si>
    <t>EBS03</t>
  </si>
  <si>
    <t>Oil valve</t>
  </si>
  <si>
    <t>EBS04</t>
  </si>
  <si>
    <t>Drive coupling</t>
  </si>
  <si>
    <t>EBS05</t>
  </si>
  <si>
    <t>Nipple</t>
  </si>
  <si>
    <t>EBS06</t>
  </si>
  <si>
    <t>Oil line</t>
  </si>
  <si>
    <t>EBS09</t>
  </si>
  <si>
    <t>EBS10</t>
  </si>
  <si>
    <t>3uF Capacitor</t>
  </si>
  <si>
    <t>EBS12</t>
  </si>
  <si>
    <t>Control box base</t>
  </si>
  <si>
    <t>EBS13</t>
  </si>
  <si>
    <t>Control box</t>
  </si>
  <si>
    <t>EBS13011117</t>
  </si>
  <si>
    <t>CAPACITOR 4UF</t>
  </si>
  <si>
    <t>Ecoflam MAX1 LN</t>
  </si>
  <si>
    <t>EBS14</t>
  </si>
  <si>
    <t>EBS17</t>
  </si>
  <si>
    <t>Fan</t>
  </si>
  <si>
    <t>EBS19</t>
  </si>
  <si>
    <t>Combustion Head o-ring</t>
  </si>
  <si>
    <t>EBS20</t>
  </si>
  <si>
    <t xml:space="preserve">Cover Air Inlet </t>
  </si>
  <si>
    <t>Vortex WallHung 12-16kW</t>
  </si>
  <si>
    <t>EBS20A</t>
  </si>
  <si>
    <t>Vortex WallHung 16-21kW</t>
  </si>
  <si>
    <t>EBS21</t>
  </si>
  <si>
    <t>HT Lead</t>
  </si>
  <si>
    <t>EBS22</t>
  </si>
  <si>
    <t>Electrodes</t>
  </si>
  <si>
    <t>EBS23</t>
  </si>
  <si>
    <t>Combustion Head</t>
  </si>
  <si>
    <t>EBS26</t>
  </si>
  <si>
    <t>Nozzle holder</t>
  </si>
  <si>
    <t>EBS29</t>
  </si>
  <si>
    <t>Flange</t>
  </si>
  <si>
    <t>EBS30</t>
  </si>
  <si>
    <t>Gasket</t>
  </si>
  <si>
    <t>EBS33</t>
  </si>
  <si>
    <t>Oil Pipe</t>
  </si>
  <si>
    <t>EBS34</t>
  </si>
  <si>
    <t>Pipe Gasket</t>
  </si>
  <si>
    <t>EBS36</t>
  </si>
  <si>
    <t>Snorkel Adaptor</t>
  </si>
  <si>
    <t>EBS37</t>
  </si>
  <si>
    <t>5uF capacitor</t>
  </si>
  <si>
    <t>EBS38</t>
  </si>
  <si>
    <t>4uF capacitor</t>
  </si>
  <si>
    <t>Ignition Transformer</t>
  </si>
  <si>
    <t>EBS65325684</t>
  </si>
  <si>
    <t>SET FILTER+SEAL</t>
  </si>
  <si>
    <t>EBS65326747</t>
  </si>
  <si>
    <t xml:space="preserve">MOTOR EBR 75W </t>
  </si>
  <si>
    <t>EBS65327293</t>
  </si>
  <si>
    <t xml:space="preserve">COIL DANFOSS BFP T85 </t>
  </si>
  <si>
    <t>EBS65327306</t>
  </si>
  <si>
    <t>EBS65327402</t>
  </si>
  <si>
    <t>HOSES NW 4X700</t>
  </si>
  <si>
    <t>EBS65327403</t>
  </si>
  <si>
    <t xml:space="preserve">CONTROL BOX WITH CABLES (EBR RV-M2 15-0) </t>
  </si>
  <si>
    <t>EBS65327404</t>
  </si>
  <si>
    <t>PHOTORESISTOR (QRB1B)</t>
  </si>
  <si>
    <t>EBS65327405</t>
  </si>
  <si>
    <t xml:space="preserve">SUPPORT </t>
  </si>
  <si>
    <t>EBS65327406</t>
  </si>
  <si>
    <t>EBS65327407</t>
  </si>
  <si>
    <t xml:space="preserve">COVER AIR INLET </t>
  </si>
  <si>
    <t>EBS65327408</t>
  </si>
  <si>
    <t>BLAST TUBE (WM12/16)</t>
  </si>
  <si>
    <t>EBS65327409</t>
  </si>
  <si>
    <t>BLAST TUBE (WM16/21)</t>
  </si>
  <si>
    <t>EBS65327410</t>
  </si>
  <si>
    <t xml:space="preserve">NOZZLE HOLDER </t>
  </si>
  <si>
    <t>EBS65327411</t>
  </si>
  <si>
    <t>DIFFUSER (WM12/16)</t>
  </si>
  <si>
    <t>EBS65327412</t>
  </si>
  <si>
    <t>DIFFUSER (WM16/21)</t>
  </si>
  <si>
    <t>EBS65327413</t>
  </si>
  <si>
    <t xml:space="preserve">CONVEYOR </t>
  </si>
  <si>
    <t>EBS65327414</t>
  </si>
  <si>
    <t xml:space="preserve">ROD </t>
  </si>
  <si>
    <t>EBS65327415</t>
  </si>
  <si>
    <t xml:space="preserve">OIL PIPE </t>
  </si>
  <si>
    <t>WBS09F</t>
  </si>
  <si>
    <t>4 Pin plug female for wall hung burner</t>
  </si>
  <si>
    <t>WBS09M</t>
  </si>
  <si>
    <t>4 Pin plug male for wall hung burner</t>
  </si>
  <si>
    <t>Burners - Riello Spares</t>
  </si>
  <si>
    <t>Riello G5</t>
  </si>
  <si>
    <t>Solenoid Coil</t>
  </si>
  <si>
    <t>Solenoid Cover &amp; Nut</t>
  </si>
  <si>
    <t>O-Ring Regulator (10 pack)</t>
  </si>
  <si>
    <t>Oil pressure Regulator</t>
  </si>
  <si>
    <t>Oil Pump O-Rings (10 pack)</t>
  </si>
  <si>
    <t>Riello G5, Riello RDB, RDB BLU, RDB Neutral</t>
  </si>
  <si>
    <t>Pump Filter</t>
  </si>
  <si>
    <t>Valve Oil Pump Solenoid</t>
  </si>
  <si>
    <t>Riello RDB, RDB BLU, RDB Neutral</t>
  </si>
  <si>
    <t>Control Box 535</t>
  </si>
  <si>
    <t>Riello RDB</t>
  </si>
  <si>
    <t>CAPACITOR P2 4µF</t>
  </si>
  <si>
    <t>Electrode Assembly</t>
  </si>
  <si>
    <t>Solenoid Needle Valve</t>
  </si>
  <si>
    <t>Nozzle Holder</t>
  </si>
  <si>
    <t>Collar Burner Head Mounting</t>
  </si>
  <si>
    <t>Supply Tube (RDB 1 &amp; 2)</t>
  </si>
  <si>
    <t>Riello RDB1 / 2</t>
  </si>
  <si>
    <t>Z20132526</t>
  </si>
  <si>
    <t>Air damper assembly (21kW)</t>
  </si>
  <si>
    <t>Pump Filter &amp; O-Ring</t>
  </si>
  <si>
    <t>Combustion Head LD2</t>
  </si>
  <si>
    <t>Combustion Head LD3 70/90</t>
  </si>
  <si>
    <t>Riello RDB(70/90)</t>
  </si>
  <si>
    <t>Combustion Head LD3A 90/120, 110/140</t>
  </si>
  <si>
    <t>Riello RDB(90/120, 110/140)</t>
  </si>
  <si>
    <t>High Voltage Lead (6 pack)</t>
  </si>
  <si>
    <t>O-ring Solenoid Valve (10 pack)</t>
  </si>
  <si>
    <t>Combustion Head LD2SX 50/70 (Euroflame)</t>
  </si>
  <si>
    <t>Riello RDB(Euroflame 50/70)</t>
  </si>
  <si>
    <t>Electrode Group 50/70 (Euroflame)</t>
  </si>
  <si>
    <t>Nozzle Holder 50/70 (Euroflame)</t>
  </si>
  <si>
    <t>Electrode Screw 50/70 (Euroflame)</t>
  </si>
  <si>
    <t>Pressure gauge connector</t>
  </si>
  <si>
    <t>Solenoid Lead</t>
  </si>
  <si>
    <t>Oil Pump Seal</t>
  </si>
  <si>
    <t>Riello G5, Riello RDB</t>
  </si>
  <si>
    <t>O-ring kit</t>
  </si>
  <si>
    <t>Fan Impeller RDB 2</t>
  </si>
  <si>
    <t>Riello RDB2</t>
  </si>
  <si>
    <t>Air Snorkel Spigot</t>
  </si>
  <si>
    <t>Combustion Head T3</t>
  </si>
  <si>
    <t>Combustion Head T1</t>
  </si>
  <si>
    <t>Combustion Head T2</t>
  </si>
  <si>
    <t>Tube Assembly Pump Inlet</t>
  </si>
  <si>
    <t>Combustion Head T5</t>
  </si>
  <si>
    <t xml:space="preserve">Fan </t>
  </si>
  <si>
    <t>Flange - RDB 3.2</t>
  </si>
  <si>
    <t>Riello RDB3.2</t>
  </si>
  <si>
    <t>Diffuser Disc - RDB 3.2</t>
  </si>
  <si>
    <t>Gasket - RDB 3.2</t>
  </si>
  <si>
    <t>Seal Kit - 3.2 RDB</t>
  </si>
  <si>
    <t>Electrodes - RDB 3.2</t>
  </si>
  <si>
    <t>Motor (includes capacitor) RDB 3.2</t>
  </si>
  <si>
    <t>Supply Tube 3.2 RDB</t>
  </si>
  <si>
    <t>Fan Impeller RDB 3.2</t>
  </si>
  <si>
    <t>Combustion Head 3.2 RDB</t>
  </si>
  <si>
    <t>Nozzle Holder 3.2 RDB</t>
  </si>
  <si>
    <t>Collar - RDB 3.2</t>
  </si>
  <si>
    <t>Air damper assembly (26kW, 36kW)</t>
  </si>
  <si>
    <t>CAPACITOR P2 5µF</t>
  </si>
  <si>
    <t>Cover - RDB 3.2</t>
  </si>
  <si>
    <t>Oil Pump Outlet Tube</t>
  </si>
  <si>
    <t>Control Box 530E</t>
  </si>
  <si>
    <t>Control Box Base</t>
  </si>
  <si>
    <t>Riello RDB BLU</t>
  </si>
  <si>
    <t>4-Pin Connector (26kW, 36kW)</t>
  </si>
  <si>
    <t>Ignition Electrodes</t>
  </si>
  <si>
    <t>Pre-heater jumper link (10 pack)</t>
  </si>
  <si>
    <t>Nozzle Holder (21kW, 26kW)</t>
  </si>
  <si>
    <t>Nozzle Holder (36kW)</t>
  </si>
  <si>
    <t>Z20132573</t>
  </si>
  <si>
    <t xml:space="preserve">UV Sensor </t>
  </si>
  <si>
    <t>Pump Pressure Regulator</t>
  </si>
  <si>
    <t>Air adjuster disc (21kW)</t>
  </si>
  <si>
    <t>Control box cover</t>
  </si>
  <si>
    <t xml:space="preserve">Control Box  </t>
  </si>
  <si>
    <t>Solenoid coil lead</t>
  </si>
  <si>
    <t>Cover</t>
  </si>
  <si>
    <t>Front shield</t>
  </si>
  <si>
    <t>Air intake - balanced flue</t>
  </si>
  <si>
    <t>Air baffle (21kW, 26kW)</t>
  </si>
  <si>
    <t>Air baffle (36kW)</t>
  </si>
  <si>
    <t>Air intake - conventional flue</t>
  </si>
  <si>
    <t>O-Ring Collar</t>
  </si>
  <si>
    <t>Combustion Head G3Q 40/60</t>
  </si>
  <si>
    <t>Riello G5 (40/60)</t>
  </si>
  <si>
    <t>Combustion Head G3S 110/140</t>
  </si>
  <si>
    <t>Riello G5 (110/140)</t>
  </si>
  <si>
    <t>Combustion Head G3B 50/90</t>
  </si>
  <si>
    <t>Riello G5 (50/90)</t>
  </si>
  <si>
    <t>Combustion Head G2 Compact</t>
  </si>
  <si>
    <t>Standard Flange (thick)</t>
  </si>
  <si>
    <t>Electrode Clamp/Screw (10 pack)</t>
  </si>
  <si>
    <t>Combustion Head O-Ring (10 pack)</t>
  </si>
  <si>
    <t>Burner Cover Seal</t>
  </si>
  <si>
    <t>Air Damper Regulator</t>
  </si>
  <si>
    <t>Adaptor Oil Line 3/8 x 1/4</t>
  </si>
  <si>
    <t>RBS36</t>
  </si>
  <si>
    <t>Flexi Oil Hose 900mm 1/4 M X 3/8 F</t>
  </si>
  <si>
    <t>RBS36B10</t>
  </si>
  <si>
    <t>Blast Tube Retaining Screw (pack of 10)</t>
  </si>
  <si>
    <t>Riello (all models)</t>
  </si>
  <si>
    <t>Air Intake</t>
  </si>
  <si>
    <t>Z3005708</t>
  </si>
  <si>
    <t>Fan Impeller</t>
  </si>
  <si>
    <t>Capacitor P2 4µF</t>
  </si>
  <si>
    <t>Combustion Head Ring G3Q &amp; G3N</t>
  </si>
  <si>
    <t>Short Hydraulic Ram</t>
  </si>
  <si>
    <t>Long Hydraulic Ram</t>
  </si>
  <si>
    <t>Thin Mounting Flange</t>
  </si>
  <si>
    <t>RBS86</t>
  </si>
  <si>
    <t>Long Life Reinforced Oil Line (Rubber)</t>
  </si>
  <si>
    <t>1/4 X 1/4 Hose Connector</t>
  </si>
  <si>
    <t>Riello hose</t>
  </si>
  <si>
    <t>Flange Gasket</t>
  </si>
  <si>
    <t>ELECTRODE (R40, G7, G10)</t>
  </si>
  <si>
    <t xml:space="preserve">R40, G7, G10 Burner </t>
  </si>
  <si>
    <t>O-Rings (10 pack)</t>
  </si>
  <si>
    <t>ELECTRODES (R40, G3, G5)</t>
  </si>
  <si>
    <t xml:space="preserve">R40, G3, G5 Burner </t>
  </si>
  <si>
    <t>Z3005971</t>
  </si>
  <si>
    <t>Z20012046</t>
  </si>
  <si>
    <t>Z20018545</t>
  </si>
  <si>
    <t>RDB 2.2 BX Electrodes (15-26kW)</t>
  </si>
  <si>
    <t>Riello RDB 2.2 BX</t>
  </si>
  <si>
    <t>Z20018693</t>
  </si>
  <si>
    <t>RDB 2.2 BX Electrodes (26-46kW)</t>
  </si>
  <si>
    <t>Z20029299</t>
  </si>
  <si>
    <t>Oil Pump By-pass Plug (pack of 5)</t>
  </si>
  <si>
    <t>Z20030780</t>
  </si>
  <si>
    <t>Riello R40 G3</t>
  </si>
  <si>
    <t>Z20030953</t>
  </si>
  <si>
    <t>Z20031996</t>
  </si>
  <si>
    <t>Z20032135</t>
  </si>
  <si>
    <t>Z20045862</t>
  </si>
  <si>
    <t>Z20071576</t>
  </si>
  <si>
    <t>CAPACITOR P2 4.5µF</t>
  </si>
  <si>
    <t>Z20071577</t>
  </si>
  <si>
    <t>RDB MOTOR CW CAPACITOR P2 4.5µF</t>
  </si>
  <si>
    <t>Z20081251</t>
  </si>
  <si>
    <t>Z20087025</t>
  </si>
  <si>
    <t>Z20087035</t>
  </si>
  <si>
    <t>Z20094349</t>
  </si>
  <si>
    <t>Z20094351</t>
  </si>
  <si>
    <t>Z20094352</t>
  </si>
  <si>
    <t>Z20095126</t>
  </si>
  <si>
    <t>Z20105111</t>
  </si>
  <si>
    <t>Ignition HT lead (pack of 2)</t>
  </si>
  <si>
    <t>Z20117411</t>
  </si>
  <si>
    <t>Z20117417</t>
  </si>
  <si>
    <t>Z20117432</t>
  </si>
  <si>
    <t>Z20117435</t>
  </si>
  <si>
    <t>Z20120985</t>
  </si>
  <si>
    <t>Combustion Head - BG2 (26kW)</t>
  </si>
  <si>
    <t>Z20117437</t>
  </si>
  <si>
    <t>Z20117455</t>
  </si>
  <si>
    <t>Z20117459</t>
  </si>
  <si>
    <t>Z20117461</t>
  </si>
  <si>
    <t>Z20117488</t>
  </si>
  <si>
    <t>Z20117497</t>
  </si>
  <si>
    <t>Z20117504</t>
  </si>
  <si>
    <t>Z20117506</t>
  </si>
  <si>
    <t>Z20117694</t>
  </si>
  <si>
    <t>Photodiode (Analogue)</t>
  </si>
  <si>
    <t>Z20132550</t>
  </si>
  <si>
    <t>Photodiode (Digital)</t>
  </si>
  <si>
    <t>Z20133586</t>
  </si>
  <si>
    <t>RDB 2.2 BX Diffiser Disc (26-46kW)</t>
  </si>
  <si>
    <t>Z20133588</t>
  </si>
  <si>
    <t>RDB 2.2 BX Nozzle Holder</t>
  </si>
  <si>
    <t>Z20134372</t>
  </si>
  <si>
    <t>RDB 2.2 BX Knob</t>
  </si>
  <si>
    <t>Z20139837</t>
  </si>
  <si>
    <t>RDB 2.2 BX Diffiser Disc (15-26kW)</t>
  </si>
  <si>
    <t>Z20147320</t>
  </si>
  <si>
    <t>RDB 2.2 BX Blast tube</t>
  </si>
  <si>
    <t>Z2880583</t>
  </si>
  <si>
    <t>Z2880584</t>
  </si>
  <si>
    <t>Z3000439</t>
  </si>
  <si>
    <t>Z3000443</t>
  </si>
  <si>
    <t>Drive Coupling (10 pack)</t>
  </si>
  <si>
    <t>Z3000681</t>
  </si>
  <si>
    <t>Z3001156</t>
  </si>
  <si>
    <t>Z3002278</t>
  </si>
  <si>
    <t>Z3002279</t>
  </si>
  <si>
    <t>Z3002423</t>
  </si>
  <si>
    <t>Z3002447</t>
  </si>
  <si>
    <t>Z3002507</t>
  </si>
  <si>
    <t>Z3002533</t>
  </si>
  <si>
    <t>Z3002570</t>
  </si>
  <si>
    <t>Z3002571</t>
  </si>
  <si>
    <t>Z3002572</t>
  </si>
  <si>
    <t>Z3003602</t>
  </si>
  <si>
    <t>Z3005711</t>
  </si>
  <si>
    <t>Z3005719</t>
  </si>
  <si>
    <t>Z3005721</t>
  </si>
  <si>
    <t>Z3005724</t>
  </si>
  <si>
    <t>Z3005775</t>
  </si>
  <si>
    <t>Z3005787</t>
  </si>
  <si>
    <t>Gasket Flange</t>
  </si>
  <si>
    <t>Z3005788</t>
  </si>
  <si>
    <t>Z3005795</t>
  </si>
  <si>
    <t>Z3005799</t>
  </si>
  <si>
    <t>Z3006001</t>
  </si>
  <si>
    <t>Z3006552</t>
  </si>
  <si>
    <t>Z3006553</t>
  </si>
  <si>
    <t>Z3006911</t>
  </si>
  <si>
    <t>Z3007132</t>
  </si>
  <si>
    <t>Z3007169</t>
  </si>
  <si>
    <t>Z3007175</t>
  </si>
  <si>
    <t>Z3007176</t>
  </si>
  <si>
    <t>Z3007178</t>
  </si>
  <si>
    <t>Z3007202</t>
  </si>
  <si>
    <t>Z3007208</t>
  </si>
  <si>
    <t>Z3007502</t>
  </si>
  <si>
    <t>Z3007503</t>
  </si>
  <si>
    <t>Z3007513</t>
  </si>
  <si>
    <t>Z3007871</t>
  </si>
  <si>
    <t>Z3007623</t>
  </si>
  <si>
    <t>Z3007629</t>
  </si>
  <si>
    <t>Z3007630</t>
  </si>
  <si>
    <t>Z3007631</t>
  </si>
  <si>
    <t>Z3007796</t>
  </si>
  <si>
    <t>Z3007798</t>
  </si>
  <si>
    <t>Z3007913</t>
  </si>
  <si>
    <t>Z3007971</t>
  </si>
  <si>
    <t>Z3008446</t>
  </si>
  <si>
    <t>Z3008636</t>
  </si>
  <si>
    <t>Z3008637</t>
  </si>
  <si>
    <t>Z3008642</t>
  </si>
  <si>
    <t>Z3008643</t>
  </si>
  <si>
    <t>Z3008644</t>
  </si>
  <si>
    <t>Z3008645</t>
  </si>
  <si>
    <t>Z3008647</t>
  </si>
  <si>
    <t>Z3008648</t>
  </si>
  <si>
    <t>Z3008652</t>
  </si>
  <si>
    <t>Z3008682</t>
  </si>
  <si>
    <t>Z3008724</t>
  </si>
  <si>
    <t>Z3008768</t>
  </si>
  <si>
    <t>Z3008769</t>
  </si>
  <si>
    <t>Z3008794</t>
  </si>
  <si>
    <t>Z3008839</t>
  </si>
  <si>
    <t>Z3008851</t>
  </si>
  <si>
    <t>Z3008859</t>
  </si>
  <si>
    <t>Z3008860</t>
  </si>
  <si>
    <t>Z3008861</t>
  </si>
  <si>
    <t>Z3008875</t>
  </si>
  <si>
    <t>Z3008876</t>
  </si>
  <si>
    <t>Z3008878</t>
  </si>
  <si>
    <t>Z3008957</t>
  </si>
  <si>
    <t>Z3008961</t>
  </si>
  <si>
    <t>Z3008962</t>
  </si>
  <si>
    <t>Z3008963</t>
  </si>
  <si>
    <t>Z3008964</t>
  </si>
  <si>
    <t>Z3009046</t>
  </si>
  <si>
    <t>Z3020121</t>
  </si>
  <si>
    <t>Z3020281</t>
  </si>
  <si>
    <t>Z3020306</t>
  </si>
  <si>
    <t>Z3020436</t>
  </si>
  <si>
    <t>Z3020437</t>
  </si>
  <si>
    <t>Z3020444</t>
  </si>
  <si>
    <t>Z3062774</t>
  </si>
  <si>
    <t>Z3008879</t>
  </si>
  <si>
    <t>RDB Burner cover</t>
  </si>
  <si>
    <t>Z20119098</t>
  </si>
  <si>
    <t>RDB cover fixings</t>
  </si>
  <si>
    <t>Burners - Sterling Spares</t>
  </si>
  <si>
    <t>SBS01</t>
  </si>
  <si>
    <t>Control Box</t>
  </si>
  <si>
    <t>Sterling Burners</t>
  </si>
  <si>
    <t>SBS02</t>
  </si>
  <si>
    <t>SBS03</t>
  </si>
  <si>
    <t>Pump BFP11L3</t>
  </si>
  <si>
    <t>SBS04</t>
  </si>
  <si>
    <t>Solenoid Coil 240V</t>
  </si>
  <si>
    <t>SBS05</t>
  </si>
  <si>
    <t>Motor 125W</t>
  </si>
  <si>
    <t>SBS07</t>
  </si>
  <si>
    <t>1000mm Flexi Oil Line</t>
  </si>
  <si>
    <t>SBS08</t>
  </si>
  <si>
    <t>Gasket One Bolt Fixing</t>
  </si>
  <si>
    <t>SBS09</t>
  </si>
  <si>
    <t>SBS10</t>
  </si>
  <si>
    <t>Fixing Screw</t>
  </si>
  <si>
    <t>SBS11</t>
  </si>
  <si>
    <t>SBS12</t>
  </si>
  <si>
    <t>Drive Coupling</t>
  </si>
  <si>
    <t>SBS13</t>
  </si>
  <si>
    <t>KA Diffuser Plate</t>
  </si>
  <si>
    <t>SBS14</t>
  </si>
  <si>
    <t>K-Blast Tube 140/160</t>
  </si>
  <si>
    <t>SBS15</t>
  </si>
  <si>
    <t>C - K Blast Tube 160/200</t>
  </si>
  <si>
    <t>SBS16</t>
  </si>
  <si>
    <t>Base &amp; Cable Plate</t>
  </si>
  <si>
    <t>SBS17</t>
  </si>
  <si>
    <t>Burner Flange Gasket</t>
  </si>
  <si>
    <t>SBS22</t>
  </si>
  <si>
    <t>SBS25</t>
  </si>
  <si>
    <t>Supply Tube</t>
  </si>
  <si>
    <t>SBS26</t>
  </si>
  <si>
    <t>SBS28</t>
  </si>
  <si>
    <t>Electrode Leads</t>
  </si>
  <si>
    <t>SBS39</t>
  </si>
  <si>
    <t>SBS40</t>
  </si>
  <si>
    <t>Capacitor</t>
  </si>
  <si>
    <t>SBS50</t>
  </si>
  <si>
    <t>Pump BFP21L3</t>
  </si>
  <si>
    <t>SBS51</t>
  </si>
  <si>
    <t>Pump BFP21R3</t>
  </si>
  <si>
    <t>Pipework</t>
  </si>
  <si>
    <t>PWVTXCOM9220-1</t>
  </si>
  <si>
    <t>50560037 73644</t>
  </si>
  <si>
    <t>* L * 22mm VTXCOMBI21,26 + OM (PRIMARY FLOW MANIFOLD)</t>
  </si>
  <si>
    <t>PWVTXCOM9330-2</t>
  </si>
  <si>
    <t>50560037 73651</t>
  </si>
  <si>
    <t>* L * 28mm VTXCOMBI36 + OM (PRIMARY FLOW MANIFOLD)</t>
  </si>
  <si>
    <t>PWVTXCOM9260-3</t>
  </si>
  <si>
    <t>50560037 73668</t>
  </si>
  <si>
    <t>* M * 22mm PRE 18/10/17 VTXCOMBI21,26 + OM (PRIMARY RETURN)</t>
  </si>
  <si>
    <t>PWVTXCOM9260-4</t>
  </si>
  <si>
    <t>50560037 73675</t>
  </si>
  <si>
    <t>* M * 22mm POST 18/10/19 VTXCOMBI21,26 + OM (PRIMARY RETURN)</t>
  </si>
  <si>
    <t>PWVTXCOM9350-5</t>
  </si>
  <si>
    <t>50560037 73682</t>
  </si>
  <si>
    <t>* M * 28mm PRE 18/10/19 VTXCOMBI36 + OM (PRIMARY RETURN)</t>
  </si>
  <si>
    <t>PWVTXCOM9350-6</t>
  </si>
  <si>
    <t>50560037 73699</t>
  </si>
  <si>
    <t>* M * 28mm POST 18/10/19 VTXCOMBI36 + OM (PRIMARY RETURN)</t>
  </si>
  <si>
    <t>PWVTXCOM9280-7</t>
  </si>
  <si>
    <t>50560037 73705</t>
  </si>
  <si>
    <t>* N * 22mm VTXCOMBI21,26 + OM (PRIMARY FLOW TO HEAT PUMP)</t>
  </si>
  <si>
    <t>PWVTXCOM9360-8</t>
  </si>
  <si>
    <t>50560037 73712</t>
  </si>
  <si>
    <t>* N * 28mm VTXCOMBI36 + OM (PRIMARY FLOW TO HEAT PUMP)</t>
  </si>
  <si>
    <t>PWVTXCOM9300-9</t>
  </si>
  <si>
    <t>50560037 73729</t>
  </si>
  <si>
    <t>* O * 22mm VTXCOMBI21,26+36+ OM (PRIMARY FLOW TO HEAT PLATE)</t>
  </si>
  <si>
    <t>PWVTXCOM9230-10</t>
  </si>
  <si>
    <t>50560037 73736</t>
  </si>
  <si>
    <t>* P * 22mm VTXCOMBI21,26+OM (OBSOLETE)(PRIMARY RETURN)</t>
  </si>
  <si>
    <t>PWVTXCOM9320-11</t>
  </si>
  <si>
    <t>50560037 73743</t>
  </si>
  <si>
    <t>* P * 28mm VTXCOMBI36+OM (OBSOLETE)(PRIMARY RETURN)</t>
  </si>
  <si>
    <t>PWVTXCOM9270-12</t>
  </si>
  <si>
    <t>50560037 73750</t>
  </si>
  <si>
    <t>* Q * 15mm VTXCOMBI21,26+OM (COLD WATER INLET MANIFOLD)</t>
  </si>
  <si>
    <t>PWVTXCOM9310-13</t>
  </si>
  <si>
    <t>50560037 73767</t>
  </si>
  <si>
    <t>* Q * 22mm VTXCOMBI36+OM (COLD WATER INLET MANIFOLD)</t>
  </si>
  <si>
    <t>PWVTXCOM9290-14</t>
  </si>
  <si>
    <t>50560037 73774</t>
  </si>
  <si>
    <t>* R * 15mm VTXCOMBI21,26,36+OM (HOT WATER FLOW TO BLENDING)</t>
  </si>
  <si>
    <t>PWVTXCOM9240-15</t>
  </si>
  <si>
    <t>50560037 73781</t>
  </si>
  <si>
    <t>* S * 15mm VTXCOMBI21,26+OM (HOT WATER OUTLET FROM BLENDING)</t>
  </si>
  <si>
    <t>PWVTXCOM9340-16</t>
  </si>
  <si>
    <t>50560037 73798</t>
  </si>
  <si>
    <t>* S * 22mm VTXCOMBI36+OM (HOT WATER OUTLET FROM BLENDING)</t>
  </si>
  <si>
    <t>Circulating Pumps</t>
  </si>
  <si>
    <t>VBS126A</t>
  </si>
  <si>
    <t>White HE HW pump cable with plug (1100mm)</t>
  </si>
  <si>
    <t>All Vortex models</t>
  </si>
  <si>
    <t>VBS126B</t>
  </si>
  <si>
    <t>Black HE heat only Pump Cable with plug (800mm)</t>
  </si>
  <si>
    <t>VBS126DHW</t>
  </si>
  <si>
    <t>Wilo 7m pump w/c white hot water cable + plug (1100mm)</t>
  </si>
  <si>
    <t>VBS126CH</t>
  </si>
  <si>
    <t>Wilo 7m pump w/c black heat only cable + plug (800mm)</t>
  </si>
  <si>
    <t>VBS159</t>
  </si>
  <si>
    <t>Wilo Para 7m SC pump</t>
  </si>
  <si>
    <t>Control panel spares</t>
  </si>
  <si>
    <t>EFBS25</t>
  </si>
  <si>
    <t>Low Pressure Neon (amber)</t>
  </si>
  <si>
    <t>Euroflame, CombiV3</t>
  </si>
  <si>
    <t>MPCBS104</t>
  </si>
  <si>
    <t>Control Panel (inc. top cover plate)</t>
  </si>
  <si>
    <t>Vortex Pro Combi Indoor 21-26KW (pre 24.10.14)</t>
  </si>
  <si>
    <t>MPCBS104X</t>
  </si>
  <si>
    <t>Vortex Pro Combi Internal 36 (pre 24.10.14)</t>
  </si>
  <si>
    <t>MPCBS105</t>
  </si>
  <si>
    <t>Vortex Pro Combi External (pre 01.11.16)</t>
  </si>
  <si>
    <t>MPCBS105A</t>
  </si>
  <si>
    <t>Control Panel Female 5 Pin Plug</t>
  </si>
  <si>
    <t xml:space="preserve">Vortex Pro Combi External </t>
  </si>
  <si>
    <t>MPCBS105B</t>
  </si>
  <si>
    <t>Control Panel Male 5 Pin Plug</t>
  </si>
  <si>
    <t>MPCBS105N</t>
  </si>
  <si>
    <t>Vortex Pro Combi External (post 01.11.16)</t>
  </si>
  <si>
    <t>MPCBS106</t>
  </si>
  <si>
    <t xml:space="preserve">Control Panel </t>
  </si>
  <si>
    <t>Vortex Eco External Wall Hung non system</t>
  </si>
  <si>
    <t>MPCBS106X</t>
  </si>
  <si>
    <t>Control Panel</t>
  </si>
  <si>
    <t>Vortex Eco External Wall Hung System</t>
  </si>
  <si>
    <t>MPCBS108</t>
  </si>
  <si>
    <t>Vortex Eco Internal Wall Hung non system</t>
  </si>
  <si>
    <t>MPCBS108X</t>
  </si>
  <si>
    <t>Vortex Eco Internal Wall Hung system</t>
  </si>
  <si>
    <t>MPCBS114</t>
  </si>
  <si>
    <t>Vortex Pro Combi Internal (pre 01.11.16)</t>
  </si>
  <si>
    <t>MPCBS114N</t>
  </si>
  <si>
    <t>Vortex Pro Combi Internal (post 01.11.16)</t>
  </si>
  <si>
    <t>MPCBS45</t>
  </si>
  <si>
    <t>Boiler On Neon (Green)</t>
  </si>
  <si>
    <t>Comb MKII, Vortex Pro Internal</t>
  </si>
  <si>
    <t>MPCBS46</t>
  </si>
  <si>
    <t>Overheat Cut-Out Thermostat Neon (Red)</t>
  </si>
  <si>
    <t>Comb MKII, Comb V3, Vortex Pro Internal, Vortex Pro Combi, Vortex Eco Wall Hung</t>
  </si>
  <si>
    <t>MPCBS54E</t>
  </si>
  <si>
    <t>Temperature Control PCB  (with sensor)</t>
  </si>
  <si>
    <t>Vortex Pro Combi (post Sept 2008)</t>
  </si>
  <si>
    <t>MPCBS54X</t>
  </si>
  <si>
    <t>Temperature Control PCB (with sensor)</t>
  </si>
  <si>
    <t>Comb V3, Vortex Pro Combi (pre Sept 2008)</t>
  </si>
  <si>
    <t>MPCBS72</t>
  </si>
  <si>
    <t>Relay (clear)</t>
  </si>
  <si>
    <t>Vortex Combi (pre Sept 2008)</t>
  </si>
  <si>
    <t>MPCBS72B</t>
  </si>
  <si>
    <t>Relay Base (grey relay)</t>
  </si>
  <si>
    <t>MPCBS72X</t>
  </si>
  <si>
    <t xml:space="preserve">Orange Relay </t>
  </si>
  <si>
    <t>Vortex Outoor Combi (pre Sept 2008)</t>
  </si>
  <si>
    <t>MPCBS75</t>
  </si>
  <si>
    <t>Relay Base (orange relay)</t>
  </si>
  <si>
    <t>MPCBS96</t>
  </si>
  <si>
    <t>PCB Temperature Control (no sensor)</t>
  </si>
  <si>
    <t>MPCBS97</t>
  </si>
  <si>
    <t>Central Heating Sensor for PCB (black)</t>
  </si>
  <si>
    <t>Comb V3, Vortex Pro Combi (post Sept 2008)</t>
  </si>
  <si>
    <t>MPCBS97X</t>
  </si>
  <si>
    <t>Temperature Control PCB (no sensor)</t>
  </si>
  <si>
    <t>MPCBS98</t>
  </si>
  <si>
    <t>Direct H/W Sensor for PCB (White)</t>
  </si>
  <si>
    <t>TPBS30</t>
  </si>
  <si>
    <t>Temperature Control Knob</t>
  </si>
  <si>
    <t>All models (pre Sept 2015)</t>
  </si>
  <si>
    <t>VBS135</t>
  </si>
  <si>
    <t>Temperature Control Knob 180 deg</t>
  </si>
  <si>
    <t>All non Combi models (post Sept 2015)</t>
  </si>
  <si>
    <t>VBS136</t>
  </si>
  <si>
    <t>Temperature Control Knob 270 deg</t>
  </si>
  <si>
    <t>All combi models (post Sept 2015)</t>
  </si>
  <si>
    <t>Expansion vessels</t>
  </si>
  <si>
    <t>MPCBS27</t>
  </si>
  <si>
    <t>10 litre Expansion Vessel</t>
  </si>
  <si>
    <t>Euroflame Internal  50/70 &amp; 70/90, Euroflame External models, Vortex Pro 15-21KW</t>
  </si>
  <si>
    <t>MPCBS70</t>
  </si>
  <si>
    <t>14 litre Expansion Vessel</t>
  </si>
  <si>
    <t>Vortex Pro Combi 36KW (pre Dec 2014)</t>
  </si>
  <si>
    <t>MPCBSWINK24</t>
  </si>
  <si>
    <t>Vortex Pro Combi (post Dec 2014)</t>
  </si>
  <si>
    <t>MPSS01</t>
  </si>
  <si>
    <t>12 Litre Expansion Vessel</t>
  </si>
  <si>
    <t>Comb MKII, CombiV3, Euroflame Internal 50/90 &amp; 90/120, Multipass 50/70, 70/90 &amp; 90/140, Vortex Pro 15-26KW, Vortex Pro Combi 26KW (pre Dec 2014), Vortex Eco</t>
  </si>
  <si>
    <t>MPSS08</t>
  </si>
  <si>
    <t>10 litre Expansion Vessel (flat)</t>
  </si>
  <si>
    <t>Vortex Pro Combi 21kW (pre Dec 2014)</t>
  </si>
  <si>
    <t>VBS/UNI</t>
  </si>
  <si>
    <t>12 Litre Slimline Universal Vessel (no bracket)</t>
  </si>
  <si>
    <t>VBS06</t>
  </si>
  <si>
    <t>12 litre Expansion Vessel (flat)</t>
  </si>
  <si>
    <t>VBS124</t>
  </si>
  <si>
    <t>Vortex Pro Combi (All models post Dec 2014)</t>
  </si>
  <si>
    <t>VBS38</t>
  </si>
  <si>
    <t>16 litre Expansion Vessel (36-46kW)</t>
  </si>
  <si>
    <t>VBSWINK10</t>
  </si>
  <si>
    <t>Vortex Eco External system kit 15-21kW</t>
  </si>
  <si>
    <t>VBSWINK12E</t>
  </si>
  <si>
    <t>12 litre Expansion Vessel (390mm dia)</t>
  </si>
  <si>
    <t>Vortex Pro System 26-36kW</t>
  </si>
  <si>
    <t>VBSWINK12H</t>
  </si>
  <si>
    <t>12 litre Expansion Vessel c/w bracket</t>
  </si>
  <si>
    <t xml:space="preserve">Vortex Eco External system kit 15-35kW, Vortex Eco External 15-35kW,  Vortex Pro External 15-26kW, </t>
  </si>
  <si>
    <t>VBSWINK16</t>
  </si>
  <si>
    <t>16 litre Expansion Vessel</t>
  </si>
  <si>
    <t>Vortex Pro System 36-46kW, Vortex Pro External system kit 26-46kW</t>
  </si>
  <si>
    <t>WBS07</t>
  </si>
  <si>
    <t>8 litre Expansion Vessel</t>
  </si>
  <si>
    <t>WBSWINK8</t>
  </si>
  <si>
    <t>VBS/VWB</t>
  </si>
  <si>
    <t>Expansion vessel fixing bar kit</t>
  </si>
  <si>
    <t>VBS/VWB25</t>
  </si>
  <si>
    <t>5056003777581</t>
  </si>
  <si>
    <t>25 litre Expansion Vessel with wall bracket &amp; fittings</t>
  </si>
  <si>
    <t>VBS/VWB18</t>
  </si>
  <si>
    <t>5056003777598</t>
  </si>
  <si>
    <t>18 litre Expansion Vessel with wall bracket &amp; fittings</t>
  </si>
  <si>
    <t>VBS/VWB12</t>
  </si>
  <si>
    <t>5056003777604</t>
  </si>
  <si>
    <t>12 litre Expansion Vessel with wall bracket &amp; fittings</t>
  </si>
  <si>
    <t>Fire Valves</t>
  </si>
  <si>
    <t>GFV9090</t>
  </si>
  <si>
    <t>5056003777574</t>
  </si>
  <si>
    <t>90°C 9 metre fire valve c/w fittings</t>
  </si>
  <si>
    <t>GFV9060</t>
  </si>
  <si>
    <t>5056003777567</t>
  </si>
  <si>
    <t>90°C 6 metre fire valve c/w fittings</t>
  </si>
  <si>
    <t>GFV9030</t>
  </si>
  <si>
    <t>5056003776942</t>
  </si>
  <si>
    <t>90°C 3 metre fire valve c/w fittings</t>
  </si>
  <si>
    <t>GFV9020</t>
  </si>
  <si>
    <t>5056003777550</t>
  </si>
  <si>
    <t>90°C 2 metre fire valve c/w fittings</t>
  </si>
  <si>
    <t>GFV6590</t>
  </si>
  <si>
    <t>5056003777543</t>
  </si>
  <si>
    <t>65°C 9 metre fire valve c/w fittings</t>
  </si>
  <si>
    <t>GFV6560</t>
  </si>
  <si>
    <t>5056003777536</t>
  </si>
  <si>
    <t>65°C 6 metre fire valve c/w fittings</t>
  </si>
  <si>
    <t>GFV6515</t>
  </si>
  <si>
    <t>5056003777529</t>
  </si>
  <si>
    <t>65°C 1.5 metre fire valve c/w fittings</t>
  </si>
  <si>
    <t>GFV6530</t>
  </si>
  <si>
    <t>5056003776935</t>
  </si>
  <si>
    <t>65°C 3 metre fire valve c/w fittings</t>
  </si>
  <si>
    <t>Gauges</t>
  </si>
  <si>
    <t>MPCBS24</t>
  </si>
  <si>
    <t>Comb MKII Internal, Comb V3, Euroflame SYSTEM, Multipass Internal</t>
  </si>
  <si>
    <t>MPSS07</t>
  </si>
  <si>
    <t>Pressure Gauge (with T-piece)</t>
  </si>
  <si>
    <t>MPSSKIT90/140/200</t>
  </si>
  <si>
    <t>VBS08</t>
  </si>
  <si>
    <t>pressure Gauge (dark)</t>
  </si>
  <si>
    <t xml:space="preserve">Vortex Pro Internal, Vortex Pro Combi, Vortex Eco WallHung, </t>
  </si>
  <si>
    <t>VBS09</t>
  </si>
  <si>
    <t>Temperature &amp; Pressure Gauge</t>
  </si>
  <si>
    <t xml:space="preserve">All Vortex models </t>
  </si>
  <si>
    <t>VBS13</t>
  </si>
  <si>
    <t>Eco Gauge &amp; Valve</t>
  </si>
  <si>
    <t>Vortex Eco Sealed System Kit</t>
  </si>
  <si>
    <t>Combi MK11, Multipass external, Vortex Pro External, Vortex Eco sealed system kit</t>
  </si>
  <si>
    <t>Hoses &amp; Filling loops</t>
  </si>
  <si>
    <t>MPCBS30</t>
  </si>
  <si>
    <t>Filling Loop Kit with Valves</t>
  </si>
  <si>
    <t>Comb MKII, CombiV3, Euroflame, Multipass, Vortex Pro Combi</t>
  </si>
  <si>
    <t>MPCBS31</t>
  </si>
  <si>
    <t>Expansion Vessel Flexi Hose</t>
  </si>
  <si>
    <t>Comb MKII, Multipass Sealed System Kit</t>
  </si>
  <si>
    <t>MPCBS79</t>
  </si>
  <si>
    <t>Comb V3, Vortex Pro (EXCLUDING 15/21), Vortex Pro Combi 26-36KW (pre Dec 2014), Vortex Eco</t>
  </si>
  <si>
    <t>MPSS04</t>
  </si>
  <si>
    <t>Euroflame Sealed System Kit, Multipass</t>
  </si>
  <si>
    <t>VBS107</t>
  </si>
  <si>
    <t xml:space="preserve">Flexi Condensate Hose </t>
  </si>
  <si>
    <t xml:space="preserve">Vortex Pro Internal 15/26, 26/36 &amp; 36/46, Vortex Pro Combi Internal (pre Dec 2014), Vortex Eco Internal </t>
  </si>
  <si>
    <t>VBS108</t>
  </si>
  <si>
    <t xml:space="preserve">Vortex Pro Internal 46-70KW, </t>
  </si>
  <si>
    <t>VBS109</t>
  </si>
  <si>
    <t>Vortex Pro External, Vortex Eco External, Vortex Pro Combi External, Vortex Boiler House</t>
  </si>
  <si>
    <t>VBS110</t>
  </si>
  <si>
    <t xml:space="preserve">Vortex Pro Internal 15-21KW </t>
  </si>
  <si>
    <t>VBS125</t>
  </si>
  <si>
    <t>VBS127</t>
  </si>
  <si>
    <t>Vortex Pro Combi Internal (post Dec 2014)</t>
  </si>
  <si>
    <t>VBS35</t>
  </si>
  <si>
    <t>Vortex Pro</t>
  </si>
  <si>
    <t>VBS35X</t>
  </si>
  <si>
    <t>VBS95</t>
  </si>
  <si>
    <t>Vortex Pro External 15-21KW, Vortex Combi 21KW (pre Dec 2014)</t>
  </si>
  <si>
    <t>WBS08</t>
  </si>
  <si>
    <t>EFBS14</t>
  </si>
  <si>
    <t>Nut and Washer Set Cleaning Door</t>
  </si>
  <si>
    <t>Comb MKII, Comb V3, Euroflame, Multipass, Vortex Boiler House, Vortex Pro Combi</t>
  </si>
  <si>
    <t>EFBS29X</t>
  </si>
  <si>
    <t>Chrome Handle Assembly</t>
  </si>
  <si>
    <t>Euroflame External, Multipass External</t>
  </si>
  <si>
    <t>FKS10</t>
  </si>
  <si>
    <t>BASE PAD EF/MP</t>
  </si>
  <si>
    <t xml:space="preserve">MP &amp; EF boilers </t>
  </si>
  <si>
    <t>FKS10A</t>
  </si>
  <si>
    <t>BASE PAD VORTEX</t>
  </si>
  <si>
    <t xml:space="preserve">Vortex boilers </t>
  </si>
  <si>
    <t>FKS24</t>
  </si>
  <si>
    <t>Aluminium Flue Sealing Tape</t>
  </si>
  <si>
    <t>FKS35</t>
  </si>
  <si>
    <t>Snorkel Tube</t>
  </si>
  <si>
    <t>All Internal models</t>
  </si>
  <si>
    <t>FKS53</t>
  </si>
  <si>
    <t>Red flue seal</t>
  </si>
  <si>
    <t>High level/Vertical balanced Flue up to 26kW</t>
  </si>
  <si>
    <t>FKS54</t>
  </si>
  <si>
    <t>High level/Vertical balanced Flue 26-70kW</t>
  </si>
  <si>
    <t>FKS55</t>
  </si>
  <si>
    <t>Black flue seal</t>
  </si>
  <si>
    <t>FKS56</t>
  </si>
  <si>
    <t>FKS61</t>
  </si>
  <si>
    <t>Low level balanced flue up to 26kW</t>
  </si>
  <si>
    <t>FKS62</t>
  </si>
  <si>
    <t>FKS63</t>
  </si>
  <si>
    <t>Low level balanced flue 26-70kW</t>
  </si>
  <si>
    <t>FKS64</t>
  </si>
  <si>
    <t>FKS89</t>
  </si>
  <si>
    <t>INSULATION BOILER 120CM x 60CM (1XSHEET)</t>
  </si>
  <si>
    <t xml:space="preserve">Oil boilers </t>
  </si>
  <si>
    <t>FKS92</t>
  </si>
  <si>
    <t>Black Neoprene Gasket Flue Spigot</t>
  </si>
  <si>
    <t>Vortex Pro 15- 26KW</t>
  </si>
  <si>
    <t>FKS94</t>
  </si>
  <si>
    <t>Vortex Pro 26- 70KW, Vortex Eco External 26-35kW</t>
  </si>
  <si>
    <t>FKS94A</t>
  </si>
  <si>
    <t xml:space="preserve">Vortex Eco Internal 26-35kW </t>
  </si>
  <si>
    <t>MPBS23</t>
  </si>
  <si>
    <t>Magnetic Door Catch</t>
  </si>
  <si>
    <t>Vortex WallHung</t>
  </si>
  <si>
    <t>15 Plate Heat Exchanger</t>
  </si>
  <si>
    <t>COMB MKII</t>
  </si>
  <si>
    <t>MPCBS21/A</t>
  </si>
  <si>
    <t>Diaphragm Kit</t>
  </si>
  <si>
    <t>Comb MKII, Comb V3</t>
  </si>
  <si>
    <t>MPCBS33/A</t>
  </si>
  <si>
    <t>MPCBS122/A</t>
  </si>
  <si>
    <t>Metal Top Hat Washer Set (3 small, 3 medium)</t>
  </si>
  <si>
    <t>all models</t>
  </si>
  <si>
    <t>MPCBS35</t>
  </si>
  <si>
    <t>Microswitch Circlip (for diverter valve)</t>
  </si>
  <si>
    <t>MPCBS35X</t>
  </si>
  <si>
    <t>6.3A Fuses (for PCB) (5 pack)</t>
  </si>
  <si>
    <t>Comb V3, Vortex Pro Combi</t>
  </si>
  <si>
    <t>MPCBS39</t>
  </si>
  <si>
    <t>Flow Restrictor</t>
  </si>
  <si>
    <t>All Combi models</t>
  </si>
  <si>
    <t>MPCBS53/A</t>
  </si>
  <si>
    <t>VBS17</t>
  </si>
  <si>
    <t>High Temperature Vortex Silicone Sealant (black)</t>
  </si>
  <si>
    <t>VBS18</t>
  </si>
  <si>
    <t>Cleaning Brush for Vortex</t>
  </si>
  <si>
    <t>TIGERLOOP2</t>
  </si>
  <si>
    <t>Tigerloop Bio (metal body)</t>
  </si>
  <si>
    <t>Nozzles</t>
  </si>
  <si>
    <t>Stats</t>
  </si>
  <si>
    <t>DSBH</t>
  </si>
  <si>
    <t>Dual Thermostat</t>
  </si>
  <si>
    <t>Euroflame Boilerhouse, Multipass Boilerhouse</t>
  </si>
  <si>
    <t>DSBH03LC</t>
  </si>
  <si>
    <t>Vortex Boilerhouse</t>
  </si>
  <si>
    <t>EFBS10</t>
  </si>
  <si>
    <t>Thermostat Pocket</t>
  </si>
  <si>
    <t>Comb MKII, CombiV3, Multipass,  Vortex Pro, Vortex Pro Combi, Vortex Eco WallHung</t>
  </si>
  <si>
    <t>EFBS23</t>
  </si>
  <si>
    <t xml:space="preserve">Frost Stat </t>
  </si>
  <si>
    <t>All External models</t>
  </si>
  <si>
    <t>MPCBS25</t>
  </si>
  <si>
    <t>Primary Store Thermostat</t>
  </si>
  <si>
    <t>Comb MKII</t>
  </si>
  <si>
    <t>TPBS33</t>
  </si>
  <si>
    <t>High Limit Thermostat</t>
  </si>
  <si>
    <t>All standard efficiency boilers (non-condensing)</t>
  </si>
  <si>
    <t>TPBS34</t>
  </si>
  <si>
    <t>Boiler (Heating) Thermostat</t>
  </si>
  <si>
    <t>VBS145</t>
  </si>
  <si>
    <t>Dual Thermostat 450mm capillary</t>
  </si>
  <si>
    <t>VBS146</t>
  </si>
  <si>
    <t>VBS147</t>
  </si>
  <si>
    <t>Switches</t>
  </si>
  <si>
    <t>EFBS19</t>
  </si>
  <si>
    <t>On/Off Double Pole Switch (Neon, 4 Terminal)</t>
  </si>
  <si>
    <t>Comb MKII, Comb V3, Euroflame, Multipass, Vortex Pro, Vortex Pro Combi, Vortex Eco, Vortex Eco WallHung</t>
  </si>
  <si>
    <t>EFBS21</t>
  </si>
  <si>
    <t>Boiler On/Off Switch</t>
  </si>
  <si>
    <t>Comb MKII, Comb V3, Euroflame, Multipass, Vortex Eco, Vortex Eco WallHung</t>
  </si>
  <si>
    <t>EFBS22</t>
  </si>
  <si>
    <t>Heating/Rocker Switch (W24 x H32 mm)</t>
  </si>
  <si>
    <t>Comb MKII, Comb V3, Euroflame</t>
  </si>
  <si>
    <t>EFBS22X</t>
  </si>
  <si>
    <t>Heating/Rocker Switch (W15 x H31 mm)</t>
  </si>
  <si>
    <t xml:space="preserve">Comb MKII, Euroflame </t>
  </si>
  <si>
    <t>switches</t>
  </si>
  <si>
    <t>EFBS80</t>
  </si>
  <si>
    <t>Test Switch (4 terminal)</t>
  </si>
  <si>
    <t>Comb V3</t>
  </si>
  <si>
    <t>MPCBS41</t>
  </si>
  <si>
    <t>Microswitch Assembly</t>
  </si>
  <si>
    <t>Single Pole Low pressure Switch</t>
  </si>
  <si>
    <t>MPCBS49X/A</t>
  </si>
  <si>
    <t xml:space="preserve">Low pressure Switch Upgrade Kit </t>
  </si>
  <si>
    <t>Vortex Pro Internal, Vortex Eco Internal, Vortex Eco WallHung Internal</t>
  </si>
  <si>
    <t>MPCBS62/A</t>
  </si>
  <si>
    <t>Low pressure Switch</t>
  </si>
  <si>
    <t>Vortex Pro External, Vortex Eco External, Vortex Eco WallHung External</t>
  </si>
  <si>
    <t>MPCBS63/A</t>
  </si>
  <si>
    <t>MPCBS67</t>
  </si>
  <si>
    <t>Heating/Store Switch</t>
  </si>
  <si>
    <t>MPCBS71NT</t>
  </si>
  <si>
    <t xml:space="preserve">Flow Switch </t>
  </si>
  <si>
    <t>Vortex Pro Combi 36 (pre 15/05/08)</t>
  </si>
  <si>
    <t>MPCBS71X</t>
  </si>
  <si>
    <t>Vortex Pro Combi 21-26kW,  Pro Combi 36kW (post 15/05/08)</t>
  </si>
  <si>
    <t>MPCBS84</t>
  </si>
  <si>
    <t>Heating Store Twin Switch</t>
  </si>
  <si>
    <t>Vortex Pro Combi Internal (pre Sept 2008)</t>
  </si>
  <si>
    <t>MPCBS99</t>
  </si>
  <si>
    <t>Timed Test Switch</t>
  </si>
  <si>
    <t>Vortex Pro Combi</t>
  </si>
  <si>
    <t>Valves, Vents &amp; Drains</t>
  </si>
  <si>
    <t>MPBS21</t>
  </si>
  <si>
    <t>Drain Cock 1/2" BSP</t>
  </si>
  <si>
    <t>MPCBS100</t>
  </si>
  <si>
    <t>Isolation Valve 28mm (blue handle)</t>
  </si>
  <si>
    <t>MPCBS101</t>
  </si>
  <si>
    <t>Isolation Valve 22mm (blue handle)</t>
  </si>
  <si>
    <t>MPCBS109</t>
  </si>
  <si>
    <t>Isolation Valve</t>
  </si>
  <si>
    <t>Diverter Valve</t>
  </si>
  <si>
    <t>MPCBS20/A</t>
  </si>
  <si>
    <t>MPCBS22F</t>
  </si>
  <si>
    <t>51°C Thermostatic Mixing Valve &amp; Filter</t>
  </si>
  <si>
    <t>Comb MKII, Comb V3, Vortex Pro Combi</t>
  </si>
  <si>
    <t>MPCBS26</t>
  </si>
  <si>
    <t>Non-Return Check Valve (22mm)</t>
  </si>
  <si>
    <t>Comb MKII, Comb V3, Vortex Pro Combi (pre Apr 2011)</t>
  </si>
  <si>
    <t>MPCBS28</t>
  </si>
  <si>
    <t>2.5 bar pressure Relief Valve</t>
  </si>
  <si>
    <t>Combi Internal MKII, Euroflame Internal , Multipass Internal</t>
  </si>
  <si>
    <t>MPCBS29</t>
  </si>
  <si>
    <t>MPCBS47</t>
  </si>
  <si>
    <t>Combi External  MK11, Euroflame External</t>
  </si>
  <si>
    <t>Comb V3 Internal, Vortex Pro Combi (All models), Vortex Pro Internal, Vortex Eco WallHung (All models)</t>
  </si>
  <si>
    <t>Comb V3 External, Vortex Pro External, Vortex Eco (All models)</t>
  </si>
  <si>
    <t>MPCBS64</t>
  </si>
  <si>
    <t>Pump Valve Pair (28mm)</t>
  </si>
  <si>
    <t xml:space="preserve">Euroflame, Multipass, Vortex Pro, Vortex Pro Combi, </t>
  </si>
  <si>
    <t>MPCBS68</t>
  </si>
  <si>
    <t>Manual Air Vent</t>
  </si>
  <si>
    <t>MPCBS69</t>
  </si>
  <si>
    <t>Pump Valve Pair (22mm)</t>
  </si>
  <si>
    <t>Euroflame, Multipass, Vortex Pro, Vortex Pro Combi</t>
  </si>
  <si>
    <t>MPCBS76</t>
  </si>
  <si>
    <t>Filling Loop Heating Isolation Valve (Long)</t>
  </si>
  <si>
    <t>MPCBS76A</t>
  </si>
  <si>
    <t>Filling Loop Heating Isolation Valve (Short)</t>
  </si>
  <si>
    <t>MPCBS77</t>
  </si>
  <si>
    <t>Pump Isolation Valve (22mm)</t>
  </si>
  <si>
    <t>Comb V3, Vortex Pro Combi 21-26KW</t>
  </si>
  <si>
    <t>MPCBS78</t>
  </si>
  <si>
    <t>Isolation Valve (28mm)</t>
  </si>
  <si>
    <t xml:space="preserve">Vortex Pro Combi 36KW </t>
  </si>
  <si>
    <t>MPCBS81</t>
  </si>
  <si>
    <t>Non Return Valve (28mm)</t>
  </si>
  <si>
    <t>Vortex Pro Combi ( pre APRIL 2011)</t>
  </si>
  <si>
    <t>MPCBS81B</t>
  </si>
  <si>
    <t>Vortex Pro Combi (post APRIL 2011)</t>
  </si>
  <si>
    <t>VBS02</t>
  </si>
  <si>
    <t xml:space="preserve">Condensate Trap </t>
  </si>
  <si>
    <t>VBS61M</t>
  </si>
  <si>
    <t>Manual Air Vent Kit (22mm)</t>
  </si>
  <si>
    <t>Vortex Pro 15-26KW, Vortex Eco</t>
  </si>
  <si>
    <t>VBS62M</t>
  </si>
  <si>
    <t>Manual Air Vent Kit (28mm)</t>
  </si>
  <si>
    <t>Vortex Pro 26-46KW</t>
  </si>
  <si>
    <t>Flue Guards</t>
  </si>
  <si>
    <t>FKS60</t>
  </si>
  <si>
    <t>EZ Flue guard (stainless steel)</t>
  </si>
  <si>
    <t>EZ90/200 low level flues</t>
  </si>
  <si>
    <t>FKS60B</t>
  </si>
  <si>
    <t>EZ Flue guard ( black)</t>
  </si>
  <si>
    <t>FKS70</t>
  </si>
  <si>
    <t>Flue guard</t>
  </si>
  <si>
    <t>Vortex external models</t>
  </si>
  <si>
    <t>FKS3402541</t>
  </si>
  <si>
    <t>EZ Flue guard</t>
  </si>
  <si>
    <t>HLK01/02 high level flues</t>
  </si>
  <si>
    <t>Solar</t>
  </si>
  <si>
    <t>Solar Spares</t>
  </si>
  <si>
    <t>GS200030</t>
  </si>
  <si>
    <t>HE Pump + 1 inch lead</t>
  </si>
  <si>
    <t xml:space="preserve">GS222154E, 154G &amp; 413HE Pump station </t>
  </si>
  <si>
    <t>GS200032</t>
  </si>
  <si>
    <t xml:space="preserve">HE Pump 1 1/2" </t>
  </si>
  <si>
    <t>GS222154H Pump station</t>
  </si>
  <si>
    <t>GS200033</t>
  </si>
  <si>
    <t>HE Pump lead</t>
  </si>
  <si>
    <t>GS222154H Pump station (GS200032 pump)</t>
  </si>
  <si>
    <t>GS222017</t>
  </si>
  <si>
    <t>Collector Clamp (bronze)</t>
  </si>
  <si>
    <t>GS222019</t>
  </si>
  <si>
    <t>1/2" Solar Relief Valve for Pump Station</t>
  </si>
  <si>
    <t>GS222021</t>
  </si>
  <si>
    <t xml:space="preserve">Tempereture sensor </t>
  </si>
  <si>
    <t>GSD3 Controller</t>
  </si>
  <si>
    <t>GS222094/S</t>
  </si>
  <si>
    <t>Nutstein &amp; bolt</t>
  </si>
  <si>
    <t>GS222766</t>
  </si>
  <si>
    <t>SDX1 Controller</t>
  </si>
  <si>
    <t xml:space="preserve">Flow Valve Assembly (Red) </t>
  </si>
  <si>
    <t>Post 2012 pump stations</t>
  </si>
  <si>
    <t>GSE01A</t>
  </si>
  <si>
    <t>GSE02</t>
  </si>
  <si>
    <t>GSE03</t>
  </si>
  <si>
    <t>Safety Valve Assembly</t>
  </si>
  <si>
    <t>GSE04</t>
  </si>
  <si>
    <t>GSE07A</t>
  </si>
  <si>
    <t>Air Bottle Assembly</t>
  </si>
  <si>
    <t>GSE08A</t>
  </si>
  <si>
    <t>Fill/Flush and Flow Regulator Assembly</t>
  </si>
  <si>
    <t>Gs222154E, 154G pump stations</t>
  </si>
  <si>
    <t>GSE08B</t>
  </si>
  <si>
    <t xml:space="preserve">Fill/Flush and Flow Regulator Assembly </t>
  </si>
  <si>
    <t xml:space="preserve">GS222154H pumpstation </t>
  </si>
  <si>
    <t xml:space="preserve">Control thermostat 50-75ᵒC </t>
  </si>
  <si>
    <t>High Limit thermostat 110ᵒC manual reset SBSC</t>
  </si>
  <si>
    <t>Access/Combustion Door (white)</t>
  </si>
  <si>
    <t>Vortex Pro 15 - 26KW, Vortex Eco 26-35KW, Vortex Boiler House 26-35kW</t>
  </si>
  <si>
    <t>VBS69WHT</t>
  </si>
  <si>
    <t>Plate Heat Exchanger (35 plate)</t>
  </si>
  <si>
    <t>Main PCB Board</t>
  </si>
  <si>
    <t>HPID6R32</t>
  </si>
  <si>
    <t>HPID10R32</t>
  </si>
  <si>
    <t>HPID13R32</t>
  </si>
  <si>
    <t>HPID17R32</t>
  </si>
  <si>
    <t>5056003774429</t>
  </si>
  <si>
    <t>5056003774511</t>
  </si>
  <si>
    <t>5056003775365</t>
  </si>
  <si>
    <t>5056003778151</t>
  </si>
  <si>
    <t>HPID887479</t>
  </si>
  <si>
    <t>HPID887489</t>
  </si>
  <si>
    <t>HPID887228</t>
  </si>
  <si>
    <t>HPID887746</t>
  </si>
  <si>
    <t>Panels</t>
  </si>
  <si>
    <t>Z3006384</t>
  </si>
  <si>
    <t>Thick Flange (8mm)</t>
  </si>
  <si>
    <t>WPS10C</t>
  </si>
  <si>
    <t>ceramic ignition element (no housing)</t>
  </si>
  <si>
    <t xml:space="preserve">ceramic ignition element housing </t>
  </si>
  <si>
    <t xml:space="preserve">Ceramic ignition element (no wire) </t>
  </si>
  <si>
    <t>ELECTRODES (pack of 2)</t>
  </si>
  <si>
    <t>Z20125428</t>
  </si>
  <si>
    <t>brazier flame plate woodpellet burner (single)</t>
  </si>
  <si>
    <t>All Vortex models (post June 2020)</t>
  </si>
  <si>
    <t>WPVCLIP/X</t>
  </si>
  <si>
    <t>60-64 Rubber lined clip for vacuum hose</t>
  </si>
  <si>
    <t>Combustion Head - BG1 (up to 26kW)</t>
  </si>
  <si>
    <t>Combustion Head - BG3 (over 26kW)</t>
  </si>
  <si>
    <t>Collar BG2 &amp; BG3 (26kW, 36kW)</t>
  </si>
  <si>
    <t>Z20125427</t>
  </si>
  <si>
    <t>Collar BG1 (21kW)</t>
  </si>
  <si>
    <t>MPCBS123</t>
  </si>
  <si>
    <t>MPCBS124</t>
  </si>
  <si>
    <t>3 bar pressure relief valve with pressure gauge port</t>
  </si>
  <si>
    <t>3 bar pressure relief valve, 2 port</t>
  </si>
  <si>
    <t>Z3012868</t>
  </si>
  <si>
    <t>Z3012868X</t>
  </si>
  <si>
    <t>O Ring BF Blast tube (pack of 5)</t>
  </si>
  <si>
    <t>O Ring BF Blast tube (single)</t>
  </si>
  <si>
    <t>All Riello burners</t>
  </si>
  <si>
    <t>EBS43</t>
  </si>
  <si>
    <t>Continious operation transformer</t>
  </si>
  <si>
    <t>DEL5060W</t>
  </si>
  <si>
    <t>DEL5080W</t>
  </si>
  <si>
    <t>DEL5560W</t>
  </si>
  <si>
    <t>DEL5580W</t>
  </si>
  <si>
    <t>DEL6060W</t>
  </si>
  <si>
    <t>DEL6080W</t>
  </si>
  <si>
    <t>DEL6560W</t>
  </si>
  <si>
    <t>DEL6580W</t>
  </si>
  <si>
    <t>DEL7560W</t>
  </si>
  <si>
    <t>DEL8570W</t>
  </si>
  <si>
    <t>DEL10080W</t>
  </si>
  <si>
    <t>DEL11060W</t>
  </si>
  <si>
    <t>DEL11080W</t>
  </si>
  <si>
    <t>DEL12560W</t>
  </si>
  <si>
    <t>DEL13545W</t>
  </si>
  <si>
    <t>DEL13560W</t>
  </si>
  <si>
    <t>DEL15060W</t>
  </si>
  <si>
    <t>DEL17560W</t>
  </si>
  <si>
    <t>DEL20060W</t>
  </si>
  <si>
    <t>DEL22560W</t>
  </si>
  <si>
    <t>DEL25060W</t>
  </si>
  <si>
    <t>DEL45060W</t>
  </si>
  <si>
    <t>DEL8580W</t>
  </si>
  <si>
    <t>DEL7580W</t>
  </si>
  <si>
    <t>DEL10060W</t>
  </si>
  <si>
    <t>GN3580H</t>
  </si>
  <si>
    <t>GN3580S</t>
  </si>
  <si>
    <t>GN4060ES</t>
  </si>
  <si>
    <t>GN4060S</t>
  </si>
  <si>
    <t>GN4080EH</t>
  </si>
  <si>
    <t>GN4080ES</t>
  </si>
  <si>
    <t>GN4080S</t>
  </si>
  <si>
    <t>GN4560ES</t>
  </si>
  <si>
    <t>GN4580EH</t>
  </si>
  <si>
    <t>GN4580ES</t>
  </si>
  <si>
    <t>GN5060EH</t>
  </si>
  <si>
    <t>GN5060ES</t>
  </si>
  <si>
    <t>GN5060S</t>
  </si>
  <si>
    <t>GN5080EH</t>
  </si>
  <si>
    <t>GN5080ES</t>
  </si>
  <si>
    <t>GN5080H</t>
  </si>
  <si>
    <t>GN5560EH</t>
  </si>
  <si>
    <t>GN5560ES</t>
  </si>
  <si>
    <t>GN5560H</t>
  </si>
  <si>
    <t>GN5560S</t>
  </si>
  <si>
    <t>GN5580EH</t>
  </si>
  <si>
    <t>GN5580ES</t>
  </si>
  <si>
    <t>GN5580H</t>
  </si>
  <si>
    <t>GN6060EH</t>
  </si>
  <si>
    <t>GN6060ES</t>
  </si>
  <si>
    <t>GN6060S</t>
  </si>
  <si>
    <t>GN6080EH</t>
  </si>
  <si>
    <t>GN6080ES</t>
  </si>
  <si>
    <t>GN6080H</t>
  </si>
  <si>
    <t>GN6080S</t>
  </si>
  <si>
    <t>GN6560EH</t>
  </si>
  <si>
    <t>GN6560ES</t>
  </si>
  <si>
    <t>GN6560S</t>
  </si>
  <si>
    <t>GN6580EH</t>
  </si>
  <si>
    <t>GN6580ES</t>
  </si>
  <si>
    <t>GN6580S</t>
  </si>
  <si>
    <t>GN7580S</t>
  </si>
  <si>
    <t>GN7560EH</t>
  </si>
  <si>
    <t>GN7560ES</t>
  </si>
  <si>
    <t>GN7560S</t>
  </si>
  <si>
    <t>GN7580EH</t>
  </si>
  <si>
    <t>GN7580ES</t>
  </si>
  <si>
    <t>GN7580H</t>
  </si>
  <si>
    <t>GN8560EH</t>
  </si>
  <si>
    <t>GN8560ES</t>
  </si>
  <si>
    <t>GN8560S</t>
  </si>
  <si>
    <t>GN8580EH</t>
  </si>
  <si>
    <t>GN8580ES</t>
  </si>
  <si>
    <t>GN8580H</t>
  </si>
  <si>
    <t>GN8580S</t>
  </si>
  <si>
    <t>GN10080ES</t>
  </si>
  <si>
    <t>GN10060EH</t>
  </si>
  <si>
    <t>GN10060ES</t>
  </si>
  <si>
    <t>GN10060S</t>
  </si>
  <si>
    <t>GN10080EH</t>
  </si>
  <si>
    <t>GN10080H</t>
  </si>
  <si>
    <t>GN11080H</t>
  </si>
  <si>
    <t>GN11080S</t>
  </si>
  <si>
    <t>GN11045S</t>
  </si>
  <si>
    <t>GN11060EH</t>
  </si>
  <si>
    <t>GN11060ES</t>
  </si>
  <si>
    <t>GN11060S</t>
  </si>
  <si>
    <t>GN11080EH</t>
  </si>
  <si>
    <t>GN12060S</t>
  </si>
  <si>
    <t>GN12080H</t>
  </si>
  <si>
    <t>GN12080S</t>
  </si>
  <si>
    <t>GN12560H</t>
  </si>
  <si>
    <t>GN12560S</t>
  </si>
  <si>
    <t>GN12580S</t>
  </si>
  <si>
    <t>GN13560H</t>
  </si>
  <si>
    <t>GN13560S</t>
  </si>
  <si>
    <t>GN13580S</t>
  </si>
  <si>
    <t>GN15045S</t>
  </si>
  <si>
    <t>GN15060S</t>
  </si>
  <si>
    <t>GN16560S</t>
  </si>
  <si>
    <t>GN16580S</t>
  </si>
  <si>
    <t>GN17560H</t>
  </si>
  <si>
    <t>GN17560S</t>
  </si>
  <si>
    <t>GN20060H</t>
  </si>
  <si>
    <t>GN20060S</t>
  </si>
  <si>
    <t>GN22560S</t>
  </si>
  <si>
    <t>GN22580H</t>
  </si>
  <si>
    <t>GN25045S</t>
  </si>
  <si>
    <t>GN25060S</t>
  </si>
  <si>
    <t>GN27560S</t>
  </si>
  <si>
    <t>GN35060S</t>
  </si>
  <si>
    <t>DELAVAN NOZZLE 0.50 GPH 60°W</t>
  </si>
  <si>
    <t>DELAVAN NOZZLE 0.50 GPH 80°W</t>
  </si>
  <si>
    <t>DELAVAN NOZZLE 0.55 GPH 60°W</t>
  </si>
  <si>
    <t>DELAVAN NOZZLE 0.55 GPH 80°W</t>
  </si>
  <si>
    <t>DELAVAN NOZZLE 0.60 GPH 60°W</t>
  </si>
  <si>
    <t>DELAVAN NOZZLE 0.60 GPH 80°W</t>
  </si>
  <si>
    <t>DELAVAN NOZZLE 0.65 GPH 60°W</t>
  </si>
  <si>
    <t>DELAVAN NOZZLE 0.65 GPH 80°W</t>
  </si>
  <si>
    <t>DELAVAN NOZZLE 0.75 GPH 60°W</t>
  </si>
  <si>
    <t>DELAVAN NOZZLE 0.85 GPH 70°W</t>
  </si>
  <si>
    <t>DELAVAN NOZZLE 1.00 GPH 80°W</t>
  </si>
  <si>
    <t>DELAVAN NOZZLE 1.10 GPH 60°W</t>
  </si>
  <si>
    <t>DELAVAN NOZZLE 1.10 GPH 80°W</t>
  </si>
  <si>
    <t>DELAVAN NOZZLE 1.25 GPH 60°W</t>
  </si>
  <si>
    <t>DELAVAN NOZZLE 1.35 GPH 45°W</t>
  </si>
  <si>
    <t>DELAVAN NOZZLE 1.35 GPH 60°W</t>
  </si>
  <si>
    <t>DELAVAN NOZZLE 1.50 GPH 60°W</t>
  </si>
  <si>
    <t>DELAVAN NOZZLE 1.75 GPH 60°W</t>
  </si>
  <si>
    <t>DELAVAN NOZZLE 2.00 GPH 60°W</t>
  </si>
  <si>
    <t>DELAVAN NOZZLE 2.25 GPH 60°W</t>
  </si>
  <si>
    <t>DELAVAN NOZZLE 2.50 GPH 60°W</t>
  </si>
  <si>
    <t>DELAVAN NOZZLE 4.50 GPH 60°W</t>
  </si>
  <si>
    <t>ZLOWNOXGAUGE</t>
  </si>
  <si>
    <t>EBS65327488</t>
  </si>
  <si>
    <t>EBS65327489</t>
  </si>
  <si>
    <t>Low Nox burner gauge</t>
  </si>
  <si>
    <t>Riellow Low Nox burners</t>
  </si>
  <si>
    <t>DANFOSS NOZZLE OIL 0.35GAL/80H</t>
  </si>
  <si>
    <t>DANFOSS NOZZLE OIL 0.35GAL/80S</t>
  </si>
  <si>
    <t>DANFOSS NOZZLE OIL 0.40GAL/60ES</t>
  </si>
  <si>
    <t>DANFOSS NOZZLE OIL 0.40GAL/60S</t>
  </si>
  <si>
    <t>DANFOSS NOZZLE OIL 0.40GAL/80EH</t>
  </si>
  <si>
    <t>DANFOSS NOZZLE OIL 0.40GAL/80ES</t>
  </si>
  <si>
    <t>DANFOSS NOZZLE OIL 0.40GAL/80S</t>
  </si>
  <si>
    <t>DANFOSS NOZZLE OIL 0.45GAL/60ES</t>
  </si>
  <si>
    <t>DANFOSS NOZZLE OIL 0.45GAL/80EH</t>
  </si>
  <si>
    <t>DANFOSS NOZZLE OIL 0.45GAL/80ES</t>
  </si>
  <si>
    <t>DANFOSS NOZZLE OIL 0.50GAL/60EH</t>
  </si>
  <si>
    <t>DANFOSS NOZZLE OIL 0.50GAL/60ES</t>
  </si>
  <si>
    <t>DANFOSS NOZZLE OIL 0.50GAL/60S</t>
  </si>
  <si>
    <t>DANFOSS NOZZLE OIL 0.50GAL/80EH</t>
  </si>
  <si>
    <t>DANFOSS NOZZLE OIL 0.50GAL/80ES</t>
  </si>
  <si>
    <t>DANFOSS NOZZLE OIL 0.50GAL/80H</t>
  </si>
  <si>
    <t>DANFOSS NOZZLE OIL 0.55GAL/60EH</t>
  </si>
  <si>
    <t>DANFOSS NOZZLE OIL 0.55GAL/60ES</t>
  </si>
  <si>
    <t>DANFOSS NOZZLE OIL 0.55GAL/60H</t>
  </si>
  <si>
    <t>DANFOSS NOZZLE OIL 0.55GAL/60S</t>
  </si>
  <si>
    <t>DANFOSS NOZZLE OIL 0.55GAL/80EH</t>
  </si>
  <si>
    <t>DANFOSS NOZZLE OIL 0.55GAL/80ES</t>
  </si>
  <si>
    <t>DANFOSS NOZZLE OIL 0.55GAL/80H</t>
  </si>
  <si>
    <t>DANFOSS NOZZLE OIL 0.60GAL/60 EH</t>
  </si>
  <si>
    <t>DANFOSS NOZZLE OIL 0.60GAL/60ES</t>
  </si>
  <si>
    <t>DANFOSS NOZZLE OIL 0.60GAL/60S</t>
  </si>
  <si>
    <t>DANFOSS NOZZLE OIL 0.60GAL/80EH</t>
  </si>
  <si>
    <t>DANFOSS NOZZLE OIL 0.60GAL/80ES</t>
  </si>
  <si>
    <t>DANFOSS NOZZLE OIL 0.60GAL/80H</t>
  </si>
  <si>
    <t>DANFOSS NOZZLE OIL 0.60GAL/80S</t>
  </si>
  <si>
    <t>DANFOSS NOZZLE OIL 0.65GAL/60EH</t>
  </si>
  <si>
    <t>DANFOSS NOZZLE OIL 0.65GAL/60ES</t>
  </si>
  <si>
    <t>DANFOSS NOZZLE OIL 0.65GAL/60S</t>
  </si>
  <si>
    <t>DANFOSS NOZZLE OIL 0.65GAL/80EH</t>
  </si>
  <si>
    <t>DANFOSS NOZZLE OIL 0.65GAL/80ES</t>
  </si>
  <si>
    <t>DANFOSS NOZZLE OIL 0.65GAL/80S</t>
  </si>
  <si>
    <t>DANFOSS NOZZLE OIL 0.75 GAL/80S</t>
  </si>
  <si>
    <t>DANFOSS NOZZLE OIL 0.75GAL/60EH</t>
  </si>
  <si>
    <t>DANFOSS NOZZLE OIL 0.75GAL/60ES</t>
  </si>
  <si>
    <t>DANFOSS NOZZLE OIL 0.75GAL/60S</t>
  </si>
  <si>
    <t>DANFOSS NOZZLE OIL 0.75GAL/80EH</t>
  </si>
  <si>
    <t>DANFOSS NOZZLE OIL 0.75GAL/80ES</t>
  </si>
  <si>
    <t>DANFOSS NOZZLE OIL 0.75GAL/80H</t>
  </si>
  <si>
    <t>DANFOSS NOZZLE OIL 0.85GAL/60EH</t>
  </si>
  <si>
    <t>DANFOSS NOZZLE OIL 0.85GAL/60ES</t>
  </si>
  <si>
    <t>DANFOSS NOZZLE OIL 0.85GAL/60S</t>
  </si>
  <si>
    <t>DANFOSS NOZZLE OIL 0.85GAL/80EH</t>
  </si>
  <si>
    <t>DANFOSS NOZZLE OIL 0.85GAL/80ES</t>
  </si>
  <si>
    <t>DANFOSS NOZZLE OIL 0.85GAL/80H</t>
  </si>
  <si>
    <t>DANFOSS NOZZLE OIL 0.85GAL/80S</t>
  </si>
  <si>
    <t>DANFOSS NOZZLE OIL 1.00 GAL/80ES</t>
  </si>
  <si>
    <t>DANFOSS NOZZLE OIL 1.00GAL/60EH</t>
  </si>
  <si>
    <t>DANFOSS NOZZLE OIL 1.00GAL/60ES</t>
  </si>
  <si>
    <t>DANFOSS NOZZLE OIL 1.00GAL/60S</t>
  </si>
  <si>
    <t>DANFOSS NOZZLE OIL 1.00GAL/80EH</t>
  </si>
  <si>
    <t>DANFOSS NOZZLE OIL 1.00GAL/80H</t>
  </si>
  <si>
    <t>DANFOSS NOZZLE OIL 1.10 GAL/80H</t>
  </si>
  <si>
    <t>DANFOSS NOZZLE OIL 1.10 GAL/80S</t>
  </si>
  <si>
    <t>DANFOSS NOZZLE OIL 1.10GAL/45S</t>
  </si>
  <si>
    <t>DANFOSS NOZZLE OIL 1.10GAL/60EH</t>
  </si>
  <si>
    <t>DANFOSS NOZZLE OIL 1.10GAL/60ES</t>
  </si>
  <si>
    <t>DANFOSS NOZZLE OIL 1.10GAL/60S</t>
  </si>
  <si>
    <t>DANFOSS NOZZLE OIL 1.10GAL/80EH</t>
  </si>
  <si>
    <t>DANFOSS NOZZLE OIL 1.20GAL/60S</t>
  </si>
  <si>
    <t>DANFOSS NOZZLE OIL 1.20GAL/80H</t>
  </si>
  <si>
    <t>DANFOSS NOZZLE OIL 1.20GAL/80S</t>
  </si>
  <si>
    <t>DANFOSS NOZZLE OIL 1.25GAL/60H</t>
  </si>
  <si>
    <t>DANFOSS NOZZLE OIL 1.25GAL/60S</t>
  </si>
  <si>
    <t>DANFOSS NOZZLE OIL 1.25GAL/80S</t>
  </si>
  <si>
    <t>DANFOSS NOZZLE OIL 1.35GAL/60H</t>
  </si>
  <si>
    <t>DANFOSS NOZZLE OIL 1.35GAL/60S</t>
  </si>
  <si>
    <t>DANFOSS NOZZLE OIL 1.35GAL/80S</t>
  </si>
  <si>
    <t>DANFOSS NOZZLE OIL 1.50GAL/45S</t>
  </si>
  <si>
    <t>DANFOSS NOZZLE OIL 1.50GAL/60S</t>
  </si>
  <si>
    <t>DANFOSS NOZZLE OIL 1.65GAL/60S</t>
  </si>
  <si>
    <t>DANFOSS NOZZLE OIL 1.65GAL/80S</t>
  </si>
  <si>
    <t>DANFOSS NOZZLE OIL 1.75GAL/60H</t>
  </si>
  <si>
    <t>DANFOSS NOZZLE OIL 1.75GAL/60S</t>
  </si>
  <si>
    <t>DANFOSS NOZZLE OIL 2.00GAL/60H</t>
  </si>
  <si>
    <t>DANFOSS NOZZLE OIL 2.00GAL/60S</t>
  </si>
  <si>
    <t>DANFOSS NOZZLE OIL 2.25GAL/60S</t>
  </si>
  <si>
    <t>DANFOSS NOZZLE OIL 2.25GAL/80H</t>
  </si>
  <si>
    <t>DANFOSS NOZZLE OIL 2.50GAL/45S</t>
  </si>
  <si>
    <t>DANFOSS NOZZLE OIL 2.50GAL/60S</t>
  </si>
  <si>
    <t>DANFOSS NOZZLE OIL 2.75GAL/60S</t>
  </si>
  <si>
    <t>DANFOSS NOZZLE OIL 3.50GAL/60S</t>
  </si>
  <si>
    <t>DELAVAN NOZZLE 0.85 GPH 80°W</t>
  </si>
  <si>
    <t>DELAVAN NOZZLE 0.75 GPH 80°W</t>
  </si>
  <si>
    <t>DELAVAN NOZZLE 1.00 GPH 60°W</t>
  </si>
  <si>
    <t>HPID885286</t>
  </si>
  <si>
    <t>RIGHT SIDE PANEL HPID6R32</t>
  </si>
  <si>
    <t>HPID887187</t>
  </si>
  <si>
    <t>HPID887237</t>
  </si>
  <si>
    <t>FRONT PANEL ASSY. INC FAN GRILLES (LEFT) HPID13R32 &amp; 17R32</t>
  </si>
  <si>
    <t>RDBBF20173342</t>
  </si>
  <si>
    <t>RDBBF20173343</t>
  </si>
  <si>
    <t>RDBBF20173345</t>
  </si>
  <si>
    <t>Vortex Blue 15-21kW (post 25.11.21)</t>
  </si>
  <si>
    <t>Z20175374</t>
  </si>
  <si>
    <t>Z20175375</t>
  </si>
  <si>
    <t>Z20175376</t>
  </si>
  <si>
    <t>Z20177875</t>
  </si>
  <si>
    <t>Z20165494</t>
  </si>
  <si>
    <t>Z20175038</t>
  </si>
  <si>
    <t>Riello RDB BLU IONO</t>
  </si>
  <si>
    <t>GOIL01</t>
  </si>
  <si>
    <t>GOIL02</t>
  </si>
  <si>
    <t>GOIL03</t>
  </si>
  <si>
    <t>GOIL04</t>
  </si>
  <si>
    <t>GOIL05</t>
  </si>
  <si>
    <t>GOIL06</t>
  </si>
  <si>
    <t>GOIL07</t>
  </si>
  <si>
    <t>Grant Oil Drip Tray c/w 5 ultra absorbent pads</t>
  </si>
  <si>
    <t>Grant pack 20 ultra absorbent pads ( for oil trays )</t>
  </si>
  <si>
    <t>Grant 1/4'' Bio Approved Oil Filter c/w 10mm x 1/4'' MI Fitting</t>
  </si>
  <si>
    <t xml:space="preserve">Grant 1/4'' Bio Approved Oil Filter 489 ( only )  </t>
  </si>
  <si>
    <t>Grant 3/8'' Bio Approved Oil Filter 489 (Only )</t>
  </si>
  <si>
    <t>Grant Bio Filter Element &amp; Seals (for 489 Filters )</t>
  </si>
  <si>
    <t>Grant 3/8'' Bio Approved Oil Filter c/w 10mm x 3/8'' MI Fittings</t>
  </si>
  <si>
    <t>GUNI002</t>
  </si>
  <si>
    <t>GUNI003</t>
  </si>
  <si>
    <t>10mm x 1/4'' M I Straight fitting</t>
  </si>
  <si>
    <t>10mm x 3/8'' M I Straight fitting</t>
  </si>
  <si>
    <t>WPS04X</t>
  </si>
  <si>
    <t>400 servomotor for brazier woodpellet burner in house only</t>
  </si>
  <si>
    <t>Vortex Blue 21-26kW (post 24.06.21)</t>
  </si>
  <si>
    <t>Vortex Blue 26-36kW (post 07.12.21)</t>
  </si>
  <si>
    <t>BURNER SOCKET post Dec 2014</t>
  </si>
  <si>
    <t>BURNER PLUG post Dec 2014</t>
  </si>
  <si>
    <t>Riello RDB (All Combis post Dec 2014)</t>
  </si>
  <si>
    <t>VTXBFBURNER36 &amp; ALL IONO BURNERS</t>
  </si>
  <si>
    <t>Riello G5, Riello RDB, Riello RDB BLU 21 &amp;26</t>
  </si>
  <si>
    <t>Flange (36kW)</t>
  </si>
  <si>
    <t>Riello RDB, RDB BLU 21 &amp; 26, RDB Neutral</t>
  </si>
  <si>
    <t>Flow Valve Assembly (Blue) for GS25514E and GS222413HE  East/West pump station</t>
  </si>
  <si>
    <t>RDB2.2 BG1 BLU IONO 21 BURNER POST 25.11.2021</t>
  </si>
  <si>
    <t>RDB2.2 BG2 BLU IONO 26 BURNER POST 24.06.2021</t>
  </si>
  <si>
    <t>RDB2.2 BG3 BLU IONO 36 BURNER POST 07.12.2021</t>
  </si>
  <si>
    <t>PLUG</t>
  </si>
  <si>
    <t>4-Pin Connector (21kW)</t>
  </si>
  <si>
    <t>Z20180631</t>
  </si>
  <si>
    <t>Z20180632</t>
  </si>
  <si>
    <t>Combustion Head for  RDB2.2 BG1 BLU BURNER IONO 21</t>
  </si>
  <si>
    <t>Combustion Head for RDB2.2 BG3 BLU BURNER IONO 36</t>
  </si>
  <si>
    <t>Combustion Head for RDB2.2 BG2 BLU BURNER  IONO 26</t>
  </si>
  <si>
    <t>Probe Connection BF IONO</t>
  </si>
  <si>
    <t>Control Box BF IONO</t>
  </si>
  <si>
    <t>Coil - Shell and Knob BF IONO</t>
  </si>
  <si>
    <t>Ionization Probe for RDB2.2 BG1 BLU BURNER IONO 21</t>
  </si>
  <si>
    <t>Ionization Probe for RDB2.2 BG2 &amp; 3 BLU BURNER IONO 26 &amp; 36</t>
  </si>
  <si>
    <t>Vortex Combi XS</t>
  </si>
  <si>
    <t>GCS20X</t>
  </si>
  <si>
    <t>2 port motorised valve 230v (22mm)</t>
  </si>
  <si>
    <t>WPS29XKIT</t>
  </si>
  <si>
    <t>WPS29YKIT</t>
  </si>
  <si>
    <t>GNOZZKIT</t>
  </si>
  <si>
    <t>Grant Nozzle Kit c/w 5/8 x 3/4 x 125mm box spanner &amp; T-Bar</t>
  </si>
  <si>
    <t>Flame Hood 5-26 Kit (c/w 8x coach bolts &amp; brazier flame plate)</t>
  </si>
  <si>
    <t>Flame Hood 9-36 Kit (c/w 8x coach bolts &amp; brazier flame plate)</t>
  </si>
  <si>
    <t>VBS15X</t>
  </si>
  <si>
    <t>Vortex Pro 15-21, Vortex Eco 15-21, Vortex Pro Combi XS</t>
  </si>
  <si>
    <t>Z3001138</t>
  </si>
  <si>
    <t>Z3001150</t>
  </si>
  <si>
    <t>Z3002301</t>
  </si>
  <si>
    <t>Z3002918</t>
  </si>
  <si>
    <t>Z3002919</t>
  </si>
  <si>
    <t>Z3003785</t>
  </si>
  <si>
    <t>Z3003796</t>
  </si>
  <si>
    <t>Z3003817</t>
  </si>
  <si>
    <t>Z3003825</t>
  </si>
  <si>
    <t>Z3003828</t>
  </si>
  <si>
    <t>Z3003850</t>
  </si>
  <si>
    <t>Z3005789</t>
  </si>
  <si>
    <t>Z3005791</t>
  </si>
  <si>
    <t>Z3005820</t>
  </si>
  <si>
    <t>Z3006706</t>
  </si>
  <si>
    <t>Z3006708</t>
  </si>
  <si>
    <t>Z3006709</t>
  </si>
  <si>
    <t>Z3006710</t>
  </si>
  <si>
    <t>Z3006943</t>
  </si>
  <si>
    <t>Z3007177</t>
  </si>
  <si>
    <t>Z3007625</t>
  </si>
  <si>
    <t>Z3007713</t>
  </si>
  <si>
    <t>Z3007988</t>
  </si>
  <si>
    <t>Z3009068</t>
  </si>
  <si>
    <t>Z3012015</t>
  </si>
  <si>
    <t>Z3012091</t>
  </si>
  <si>
    <t>Z3012129</t>
  </si>
  <si>
    <t>Z3012173</t>
  </si>
  <si>
    <t>Z3012174</t>
  </si>
  <si>
    <t>Z3012175</t>
  </si>
  <si>
    <t>Z3012393</t>
  </si>
  <si>
    <t>Z3013071</t>
  </si>
  <si>
    <t>Z3013073</t>
  </si>
  <si>
    <t>Z3013708</t>
  </si>
  <si>
    <t>Z3013992</t>
  </si>
  <si>
    <t>Z3014037</t>
  </si>
  <si>
    <t>Z3111108</t>
  </si>
  <si>
    <t>Z20019415</t>
  </si>
  <si>
    <t>Z20022601</t>
  </si>
  <si>
    <t>Z20031999</t>
  </si>
  <si>
    <t>Z20032426</t>
  </si>
  <si>
    <t>Z20033646</t>
  </si>
  <si>
    <t>Z20035388</t>
  </si>
  <si>
    <t>Z20037830</t>
  </si>
  <si>
    <t>Z20087027</t>
  </si>
  <si>
    <t>Z20132553</t>
  </si>
  <si>
    <t>Z20132566</t>
  </si>
  <si>
    <t>Z20181375</t>
  </si>
  <si>
    <t>CONTROL BOX RMG508SE</t>
  </si>
  <si>
    <t>CONTROL BOX (503 SE)</t>
  </si>
  <si>
    <t>ECONOMISER</t>
  </si>
  <si>
    <t>CERAMIC ELECTRODE(WAS 3005790)</t>
  </si>
  <si>
    <t>CERAMIC ELECTRODE(WAS 3005816)</t>
  </si>
  <si>
    <t>TRANSFORMER</t>
  </si>
  <si>
    <t>ELECTRODE (RL RANGE)</t>
  </si>
  <si>
    <t>FLANGE GASKET (RS AND RL)</t>
  </si>
  <si>
    <t>HYDRAULIC JACK (RL28-130)</t>
  </si>
  <si>
    <t>COIL</t>
  </si>
  <si>
    <t>ELECTRODE (RS28/38/50)</t>
  </si>
  <si>
    <t>TUBE</t>
  </si>
  <si>
    <t>COLLAR MTN. 10</t>
  </si>
  <si>
    <t>MOTOR</t>
  </si>
  <si>
    <t>ELECTRODE</t>
  </si>
  <si>
    <t>PROBE</t>
  </si>
  <si>
    <t>GASKET</t>
  </si>
  <si>
    <t>VALVE 0-RING 10PCS REPLACES 3007156</t>
  </si>
  <si>
    <t>BACK COVER PLATE (G5BF)</t>
  </si>
  <si>
    <t>ELECTRODE ASSEMBLY</t>
  </si>
  <si>
    <t>PROBE FOR BS3D</t>
  </si>
  <si>
    <t>CONNECTOR 3/8 X 3/8</t>
  </si>
  <si>
    <t>ELECTRODE FOR (RS70/100)</t>
  </si>
  <si>
    <t>PHOTOCELL</t>
  </si>
  <si>
    <t>ELECTRODES RS50</t>
  </si>
  <si>
    <t>PROBE (SHORT)</t>
  </si>
  <si>
    <t>PROBE FOR RS RANGE</t>
  </si>
  <si>
    <t>H.T. LEADS (PKTS 10)</t>
  </si>
  <si>
    <t>RMO 88.53 CONTROL BOX</t>
  </si>
  <si>
    <t>CONTROL BOX  RMG 88 62 A2/C2</t>
  </si>
  <si>
    <t>PHOTOCELL FROM RL130</t>
  </si>
  <si>
    <t>PUMP  RL34MZ</t>
  </si>
  <si>
    <t>SEALED BEARING 6202-2RS</t>
  </si>
  <si>
    <t>HT LEADS PK2</t>
  </si>
  <si>
    <t>OIL HOSE BIO FUEL 900MM REPLACES 3005720</t>
  </si>
  <si>
    <t>PUMP G20 REPLACES 3007803</t>
  </si>
  <si>
    <t>FLEXIBLE OIL LINE REPLACES 3007672</t>
  </si>
  <si>
    <t>FLEX TUBE (RL28) REPLACES 3003769</t>
  </si>
  <si>
    <t>DIGITAL CONTROL BOX MO535MPF</t>
  </si>
  <si>
    <t>MK3 DIGITAL CONTROL BOX</t>
  </si>
  <si>
    <t>CAPACITOR P2 5µf REPLACES 3005802</t>
  </si>
  <si>
    <t>PHOTODIODE ANA REP 3008471,3007541, 3062784</t>
  </si>
  <si>
    <t>PHOTODIODE ANA REP 3007839/3007857</t>
  </si>
  <si>
    <t>PHOTODIODE DGT (REPLACES 20132550)</t>
  </si>
  <si>
    <t>Riello - Spares</t>
  </si>
  <si>
    <t>Retail 1st Oct 2023</t>
  </si>
  <si>
    <t>Increase %</t>
  </si>
  <si>
    <t>GRANT ENGINEERING (UK) LTD SPARES RETAIL PRICE LIST 1ST SEPTEMBER 2024 (ISSUE 1)</t>
  </si>
  <si>
    <t>Burner gauge Ecoflam MAX1 LN 12-16</t>
  </si>
  <si>
    <t>Burner gauge Ecoflam MAX1 LN 16-21</t>
  </si>
  <si>
    <t>GS200032X</t>
  </si>
  <si>
    <t>Discontinued - please now use GS200032X</t>
  </si>
  <si>
    <t>-</t>
  </si>
  <si>
    <t>New part code</t>
  </si>
  <si>
    <t>GSE01AX</t>
  </si>
  <si>
    <t>Discontinued - please now use GSE01AX</t>
  </si>
  <si>
    <t>GSE04X</t>
  </si>
  <si>
    <t>Discontinued - please now use GSE04X</t>
  </si>
  <si>
    <t>GSE08BX</t>
  </si>
  <si>
    <t>Discontinued - please now use GSE08BX</t>
  </si>
  <si>
    <t>Discontinued</t>
  </si>
  <si>
    <t>SOLAR PUMP UPM3 HYBRID 25-70 130 ACA</t>
  </si>
  <si>
    <t>GS222154H &amp; GS222154HX Pump station</t>
  </si>
  <si>
    <t>GS255154 Pump Station</t>
  </si>
  <si>
    <t>GS255154E Pump station</t>
  </si>
  <si>
    <t>Full/Flush &amp; Flow Rregulator</t>
  </si>
  <si>
    <t>Product No</t>
  </si>
  <si>
    <t>Description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</si>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</sst>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00B05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 wrapText="1"/>
    </xf>
    <xf numFmtId="1" fontId="4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49" fontId="4" fillId="0" borderId="1" xfId="0" applyNumberFormat="1" applyFont="1" applyBorder="1"/>
    <xf numFmtId="49" fontId="4" fillId="0" borderId="1" xfId="0" applyNumberFormat="1" applyFont="1" applyBorder="1" applyAlignment="1">
      <alignment wrapText="1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6" fillId="3" borderId="1" xfId="0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7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" fontId="4" fillId="0" borderId="0" xfId="0" applyNumberFormat="1" applyFont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64" fontId="4" fillId="0" borderId="0" xfId="2" applyFont="1" applyAlignment="1">
      <alignment horizontal="center"/>
    </xf>
    <xf numFmtId="165" fontId="4" fillId="0" borderId="0" xfId="3" applyFont="1" applyAlignment="1">
      <alignment horizontal="left"/>
    </xf>
    <xf numFmtId="165" fontId="5" fillId="0" borderId="0" xfId="3" applyFont="1" applyAlignment="1">
      <alignment horizontal="center" wrapText="1"/>
    </xf>
    <xf numFmtId="9" fontId="4" fillId="0" borderId="0" xfId="4" applyFont="1" applyAlignment="1">
      <alignment horizontal="left"/>
    </xf>
    <xf numFmtId="0" fontId="6" fillId="7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" fontId="9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165" fontId="9" fillId="0" borderId="0" xfId="3" applyFont="1" applyAlignment="1">
      <alignment horizontal="left"/>
    </xf>
    <xf numFmtId="0" fontId="9" fillId="0" borderId="0" xfId="0" applyFont="1" applyAlignment="1">
      <alignment horizontal="left"/>
    </xf>
    <xf numFmtId="9" fontId="9" fillId="0" borderId="0" xfId="4" applyFont="1" applyAlignment="1">
      <alignment horizontal="left"/>
    </xf>
    <xf numFmtId="0" fontId="10" fillId="6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" fontId="10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165" fontId="10" fillId="0" borderId="0" xfId="3" applyFont="1" applyAlignment="1">
      <alignment horizontal="left"/>
    </xf>
    <xf numFmtId="0" fontId="10" fillId="0" borderId="0" xfId="0" applyFont="1" applyAlignment="1">
      <alignment horizontal="left"/>
    </xf>
    <xf numFmtId="9" fontId="10" fillId="0" borderId="0" xfId="4" applyFont="1" applyAlignment="1">
      <alignment horizontal="left"/>
    </xf>
    <xf numFmtId="0" fontId="9" fillId="3" borderId="1" xfId="0" applyFont="1" applyFill="1" applyBorder="1" applyAlignment="1">
      <alignment horizontal="left" vertical="center"/>
    </xf>
    <xf numFmtId="0" fontId="5" fillId="0" borderId="0" xfId="1" applyFont="1" applyAlignment="1">
      <alignment horizontal="center" vertical="center"/>
    </xf>
  </cellXfs>
  <cellStyles count="5">
    <cellStyle name="Comma" xfId="3" builtinId="3"/>
    <cellStyle name="Currency" xfId="2" builtinId="4"/>
    <cellStyle name="Normal" xfId="0" builtinId="0"/>
    <cellStyle name="Normal 2" xfId="1" xr:uid="{B8288C37-9DA4-4FFC-80DC-DEF2AD511D33}"/>
    <cellStyle name="Percent" xfId="4" builtinId="5"/>
  </cellStyles>
  <dxfs count="1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708025</xdr:colOff>
      <xdr:row>0</xdr:row>
      <xdr:rowOff>11430</xdr:rowOff>
    </xdr:from>
    <xdr:to>
      <xdr:col>1</xdr:col>
      <xdr:colOff>1010285</xdr:colOff>
      <xdr:row>3</xdr:row>
      <xdr:rowOff>59307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3C9D7A-3546-4E34-9885-9845B91AA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025" y="11430"/>
          <a:ext cx="1279525" cy="5374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-fs01\companydata$\Accounts\Projects\07%20Stock\Price%20Lists\Grant%20UK%20Spares%20Price%20List%20-%201st%20October%202023%20(Issue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C4" t="str">
            <v>Product Code</v>
          </cell>
          <cell r="D4" t="str">
            <v>EAN Barcode</v>
          </cell>
          <cell r="E4" t="str">
            <v>Product Description</v>
          </cell>
          <cell r="F4" t="str">
            <v>Suitable For</v>
          </cell>
          <cell r="G4" t="str">
            <v xml:space="preserve">Retail 1st Oct 2023 </v>
          </cell>
        </row>
        <row r="5">
          <cell r="C5" t="str">
            <v>HPAS10</v>
          </cell>
          <cell r="D5">
            <v>5056003703436</v>
          </cell>
          <cell r="E5" t="str">
            <v>50UF Power Capacitor</v>
          </cell>
          <cell r="F5" t="str">
            <v>HPAW65, HPAW85</v>
          </cell>
          <cell r="G5" t="str">
            <v>POA</v>
          </cell>
        </row>
        <row r="6">
          <cell r="C6" t="str">
            <v>HPAS104</v>
          </cell>
          <cell r="D6">
            <v>5056003706710</v>
          </cell>
          <cell r="E6" t="str">
            <v>80uF Run Capacitor</v>
          </cell>
          <cell r="F6" t="str">
            <v>ASHE125</v>
          </cell>
          <cell r="G6" t="str">
            <v>POA</v>
          </cell>
        </row>
        <row r="7">
          <cell r="C7" t="str">
            <v>HPAS105</v>
          </cell>
          <cell r="D7">
            <v>5056003706727</v>
          </cell>
          <cell r="E7" t="str">
            <v>55uF Run Capacitor</v>
          </cell>
          <cell r="F7" t="str">
            <v>ASHE175</v>
          </cell>
          <cell r="G7" t="str">
            <v>POA</v>
          </cell>
        </row>
        <row r="8">
          <cell r="C8" t="str">
            <v>HPAS11</v>
          </cell>
          <cell r="D8">
            <v>5056003703399</v>
          </cell>
          <cell r="E8" t="str">
            <v>60UF Power Capacitor</v>
          </cell>
          <cell r="F8" t="str">
            <v>HPAW110/130</v>
          </cell>
          <cell r="G8" t="str">
            <v>POA</v>
          </cell>
        </row>
        <row r="9">
          <cell r="C9" t="str">
            <v>HPAS12</v>
          </cell>
          <cell r="D9">
            <v>5056003703405</v>
          </cell>
          <cell r="E9" t="str">
            <v>70UF Power Capacitor</v>
          </cell>
          <cell r="F9" t="str">
            <v>HPAW155</v>
          </cell>
          <cell r="G9" t="str">
            <v>POA</v>
          </cell>
        </row>
        <row r="10">
          <cell r="C10" t="str">
            <v>HPAS14</v>
          </cell>
          <cell r="D10">
            <v>5056003703412</v>
          </cell>
          <cell r="E10" t="str">
            <v>4UF Capacitor Fan</v>
          </cell>
          <cell r="F10" t="str">
            <v>HPAW65, ASHE175</v>
          </cell>
          <cell r="G10" t="str">
            <v>POA</v>
          </cell>
        </row>
        <row r="11">
          <cell r="C11" t="str">
            <v>HPAS15</v>
          </cell>
          <cell r="D11">
            <v>5056003703429</v>
          </cell>
          <cell r="E11" t="str">
            <v>6UF Capacitor Fan</v>
          </cell>
          <cell r="F11" t="str">
            <v>HPAW85/110/130/155</v>
          </cell>
          <cell r="G11" t="str">
            <v>POA</v>
          </cell>
        </row>
        <row r="12">
          <cell r="C12" t="str">
            <v>HPAS111</v>
          </cell>
          <cell r="D12">
            <v>5056003707250</v>
          </cell>
          <cell r="E12" t="str">
            <v>Compressor</v>
          </cell>
          <cell r="F12" t="str">
            <v xml:space="preserve">ASHE65 </v>
          </cell>
          <cell r="G12" t="str">
            <v>POA</v>
          </cell>
        </row>
        <row r="13">
          <cell r="C13" t="str">
            <v>HPAS112</v>
          </cell>
          <cell r="D13">
            <v>5056003707267</v>
          </cell>
          <cell r="E13" t="str">
            <v>Compressor</v>
          </cell>
          <cell r="F13" t="str">
            <v>ASHE85</v>
          </cell>
          <cell r="G13" t="str">
            <v>POA</v>
          </cell>
        </row>
        <row r="14">
          <cell r="C14" t="str">
            <v>HPAS113</v>
          </cell>
          <cell r="D14">
            <v>5056003707281</v>
          </cell>
          <cell r="E14" t="str">
            <v>Compressor</v>
          </cell>
          <cell r="F14" t="str">
            <v>ASHE125</v>
          </cell>
          <cell r="G14" t="str">
            <v>POA</v>
          </cell>
        </row>
        <row r="15">
          <cell r="C15" t="str">
            <v>HPAS114</v>
          </cell>
          <cell r="D15">
            <v>5056003707274</v>
          </cell>
          <cell r="E15" t="str">
            <v>Compressor</v>
          </cell>
          <cell r="F15" t="str">
            <v>ASHE175</v>
          </cell>
          <cell r="G15" t="str">
            <v>POA</v>
          </cell>
        </row>
        <row r="16">
          <cell r="C16" t="str">
            <v>HPAS115</v>
          </cell>
          <cell r="D16">
            <v>5056003707298</v>
          </cell>
          <cell r="E16" t="str">
            <v>Compressor</v>
          </cell>
          <cell r="F16" t="str">
            <v>ASHE215</v>
          </cell>
          <cell r="G16" t="str">
            <v>POA</v>
          </cell>
        </row>
        <row r="17">
          <cell r="C17" t="str">
            <v>HPAS22</v>
          </cell>
          <cell r="D17">
            <v>5056003703832</v>
          </cell>
          <cell r="E17" t="str">
            <v>Compressor</v>
          </cell>
          <cell r="F17" t="str">
            <v>HPAW65</v>
          </cell>
          <cell r="G17" t="str">
            <v>POA</v>
          </cell>
        </row>
        <row r="18">
          <cell r="C18" t="str">
            <v>HPAS23</v>
          </cell>
          <cell r="D18">
            <v>5056003703825</v>
          </cell>
          <cell r="E18" t="str">
            <v>Compressor</v>
          </cell>
          <cell r="F18" t="str">
            <v>HPAW85</v>
          </cell>
          <cell r="G18" t="str">
            <v>POA</v>
          </cell>
        </row>
        <row r="19">
          <cell r="C19" t="str">
            <v>HPAS24</v>
          </cell>
          <cell r="D19">
            <v>5056003703818</v>
          </cell>
          <cell r="E19" t="str">
            <v>Compressor</v>
          </cell>
          <cell r="F19" t="str">
            <v>HPAW110</v>
          </cell>
          <cell r="G19" t="str">
            <v>POA</v>
          </cell>
        </row>
        <row r="20">
          <cell r="C20" t="str">
            <v>HPAS25</v>
          </cell>
          <cell r="D20">
            <v>5056003703801</v>
          </cell>
          <cell r="E20" t="str">
            <v>Compressor</v>
          </cell>
          <cell r="F20" t="str">
            <v>HPAW130</v>
          </cell>
          <cell r="G20" t="str">
            <v>POA</v>
          </cell>
        </row>
        <row r="21">
          <cell r="C21" t="str">
            <v>HPAS26</v>
          </cell>
          <cell r="D21">
            <v>5056003703795</v>
          </cell>
          <cell r="E21" t="str">
            <v>Compressor</v>
          </cell>
          <cell r="F21" t="str">
            <v>HPAW155</v>
          </cell>
          <cell r="G21" t="str">
            <v>POA</v>
          </cell>
        </row>
        <row r="22">
          <cell r="C22" t="str">
            <v>HPID884116</v>
          </cell>
          <cell r="D22">
            <v>5056003709322</v>
          </cell>
          <cell r="E22" t="str">
            <v>COMPRESSOR</v>
          </cell>
          <cell r="F22" t="str">
            <v>HPID16</v>
          </cell>
          <cell r="G22">
            <v>765.4</v>
          </cell>
        </row>
        <row r="23">
          <cell r="C23" t="str">
            <v>HPID934944</v>
          </cell>
          <cell r="D23">
            <v>5056003709155</v>
          </cell>
          <cell r="E23" t="str">
            <v>COMPRESSOR</v>
          </cell>
          <cell r="F23" t="str">
            <v>HPID10</v>
          </cell>
          <cell r="G23">
            <v>459.2</v>
          </cell>
        </row>
        <row r="24">
          <cell r="C24" t="str">
            <v>HPID937199</v>
          </cell>
          <cell r="D24">
            <v>5056003708653</v>
          </cell>
          <cell r="E24" t="str">
            <v>COMPRESSOR</v>
          </cell>
          <cell r="F24" t="str">
            <v>HPID6</v>
          </cell>
          <cell r="G24">
            <v>369.9</v>
          </cell>
        </row>
        <row r="25">
          <cell r="C25" t="str">
            <v>HPAS01A</v>
          </cell>
          <cell r="D25">
            <v>5056003704259</v>
          </cell>
          <cell r="E25" t="str">
            <v>BTC Controller</v>
          </cell>
          <cell r="F25" t="str">
            <v>All HPAW &amp; ASHE models</v>
          </cell>
          <cell r="G25" t="str">
            <v>POA</v>
          </cell>
        </row>
        <row r="26">
          <cell r="C26" t="str">
            <v>HPAS02A</v>
          </cell>
          <cell r="D26">
            <v>5056003704693</v>
          </cell>
          <cell r="E26" t="str">
            <v>Black Wiring Hareness (for BTC)</v>
          </cell>
          <cell r="F26" t="str">
            <v>All HPAW &amp; ASHE models</v>
          </cell>
          <cell r="G26" t="str">
            <v>POA</v>
          </cell>
        </row>
        <row r="27">
          <cell r="C27" t="str">
            <v>HPAS02L</v>
          </cell>
          <cell r="D27">
            <v>5056003707762</v>
          </cell>
          <cell r="E27" t="str">
            <v>BTC Sensor (blue)</v>
          </cell>
          <cell r="F27" t="str">
            <v>All HPAW &amp; ASHE models</v>
          </cell>
          <cell r="G27" t="str">
            <v>POA</v>
          </cell>
        </row>
        <row r="28">
          <cell r="C28" t="str">
            <v>HPAS109</v>
          </cell>
          <cell r="D28">
            <v>5056003706512</v>
          </cell>
          <cell r="E28" t="str">
            <v xml:space="preserve">ATC Controller </v>
          </cell>
          <cell r="F28" t="str">
            <v>All ASHE models</v>
          </cell>
          <cell r="G28" t="str">
            <v>POA</v>
          </cell>
        </row>
        <row r="29">
          <cell r="C29" t="str">
            <v>HPAS21X</v>
          </cell>
          <cell r="D29">
            <v>5056003704648</v>
          </cell>
          <cell r="E29" t="str">
            <v xml:space="preserve">ATC Controller </v>
          </cell>
          <cell r="F29" t="str">
            <v>All HPAW models</v>
          </cell>
          <cell r="G29" t="str">
            <v>POA</v>
          </cell>
        </row>
        <row r="30">
          <cell r="C30" t="str">
            <v>HPAS43</v>
          </cell>
          <cell r="D30">
            <v>5056003703863</v>
          </cell>
          <cell r="E30" t="str">
            <v>Temperature Sensor</v>
          </cell>
          <cell r="F30" t="str">
            <v>All HPAW &amp; ASHE models</v>
          </cell>
          <cell r="G30" t="str">
            <v>POA</v>
          </cell>
        </row>
        <row r="31">
          <cell r="C31" t="str">
            <v>HPAS44</v>
          </cell>
          <cell r="D31">
            <v>5056003703856</v>
          </cell>
          <cell r="E31" t="str">
            <v>Controller Cable 5M</v>
          </cell>
          <cell r="F31" t="str">
            <v>ALL HPAW MODELS</v>
          </cell>
          <cell r="G31" t="str">
            <v>POA</v>
          </cell>
        </row>
        <row r="32">
          <cell r="C32" t="str">
            <v>HPAS94</v>
          </cell>
          <cell r="D32">
            <v>5056003704785</v>
          </cell>
          <cell r="E32" t="str">
            <v>Ambient Air Sensor</v>
          </cell>
          <cell r="F32" t="str">
            <v>All HPAW &amp; ASHE models</v>
          </cell>
          <cell r="G32" t="str">
            <v>POA</v>
          </cell>
        </row>
        <row r="33">
          <cell r="C33" t="str">
            <v>HPAS96</v>
          </cell>
          <cell r="D33">
            <v>5056003705515</v>
          </cell>
          <cell r="E33" t="str">
            <v>Discharge Gas Sensor</v>
          </cell>
          <cell r="F33" t="str">
            <v>All HPAW models</v>
          </cell>
          <cell r="G33" t="str">
            <v>POA</v>
          </cell>
        </row>
        <row r="34">
          <cell r="C34" t="str">
            <v>HPAS97</v>
          </cell>
          <cell r="D34">
            <v>5056003705508</v>
          </cell>
          <cell r="E34" t="str">
            <v>Black Temperature Sensor</v>
          </cell>
          <cell r="F34" t="str">
            <v>All HPAW models</v>
          </cell>
          <cell r="G34" t="str">
            <v>POA</v>
          </cell>
        </row>
        <row r="35">
          <cell r="C35" t="str">
            <v>HPID883780</v>
          </cell>
          <cell r="D35">
            <v>5056003708578</v>
          </cell>
          <cell r="E35" t="str">
            <v>OUTDOOR TEMPERATURE SENSOR</v>
          </cell>
          <cell r="F35" t="str">
            <v xml:space="preserve">HPID6 HPID10 </v>
          </cell>
          <cell r="G35">
            <v>3.83</v>
          </cell>
        </row>
        <row r="36">
          <cell r="C36" t="str">
            <v>HPID884139</v>
          </cell>
          <cell r="D36">
            <v>5056003709308</v>
          </cell>
          <cell r="E36" t="str">
            <v>DISCHARGE &amp; SUCTION TEMPERATURE SENSOR</v>
          </cell>
          <cell r="F36" t="str">
            <v>HPID16</v>
          </cell>
          <cell r="G36">
            <v>7.65</v>
          </cell>
        </row>
        <row r="37">
          <cell r="C37" t="str">
            <v>HPID884140</v>
          </cell>
          <cell r="D37">
            <v>5056003709315</v>
          </cell>
          <cell r="E37" t="str">
            <v>OUTDOOR TEMPERATURE SENSOR</v>
          </cell>
          <cell r="F37" t="str">
            <v>HPID16</v>
          </cell>
          <cell r="G37">
            <v>3.83</v>
          </cell>
        </row>
        <row r="38">
          <cell r="C38" t="str">
            <v>HPID885265</v>
          </cell>
          <cell r="D38">
            <v>5056003709063</v>
          </cell>
          <cell r="E38" t="str">
            <v>CIRCULATING WATER TEMPERATURE SENSOR</v>
          </cell>
          <cell r="F38" t="str">
            <v>HPID10 HPID16</v>
          </cell>
          <cell r="G38">
            <v>20.420000000000002</v>
          </cell>
        </row>
        <row r="39">
          <cell r="C39" t="str">
            <v>HPID937013</v>
          </cell>
          <cell r="D39">
            <v>5056003708677</v>
          </cell>
          <cell r="E39" t="str">
            <v>DISCHARGE &amp; SUCTION TEMPERATURE SENSOR</v>
          </cell>
          <cell r="F39" t="str">
            <v xml:space="preserve">HPID6 HPID10 </v>
          </cell>
          <cell r="G39">
            <v>6.38</v>
          </cell>
        </row>
        <row r="40">
          <cell r="C40" t="str">
            <v>HPID937014</v>
          </cell>
          <cell r="D40">
            <v>5056003708622</v>
          </cell>
          <cell r="E40" t="str">
            <v>Outdoor (defrost) temperature sensor</v>
          </cell>
          <cell r="F40" t="str">
            <v>HPID6 HPID10 HPID16</v>
          </cell>
          <cell r="G40">
            <v>7.65</v>
          </cell>
        </row>
        <row r="41">
          <cell r="C41" t="str">
            <v>HPID937193</v>
          </cell>
          <cell r="D41">
            <v>5056003708684</v>
          </cell>
          <cell r="E41" t="str">
            <v>WATER TEMPERATURE SENSOR</v>
          </cell>
          <cell r="F41" t="str">
            <v>HPID6</v>
          </cell>
          <cell r="G41">
            <v>7.65</v>
          </cell>
        </row>
        <row r="42">
          <cell r="C42" t="str">
            <v>HPAS03</v>
          </cell>
          <cell r="D42">
            <v>5056003704846</v>
          </cell>
          <cell r="E42" t="str">
            <v>3kW Immersion Heater</v>
          </cell>
          <cell r="F42" t="str">
            <v>All HPAW &amp; ASHE models</v>
          </cell>
          <cell r="G42" t="str">
            <v>POA</v>
          </cell>
        </row>
        <row r="43">
          <cell r="C43" t="str">
            <v>HPAS118</v>
          </cell>
          <cell r="D43">
            <v>5056003706734</v>
          </cell>
          <cell r="E43" t="str">
            <v>Immersion Contactor 16A</v>
          </cell>
          <cell r="F43" t="str">
            <v xml:space="preserve"> ASHE65/85/125/175/215</v>
          </cell>
          <cell r="G43" t="str">
            <v>POA</v>
          </cell>
        </row>
        <row r="44">
          <cell r="C44" t="str">
            <v>HPAS140</v>
          </cell>
          <cell r="D44">
            <v>5056003708332</v>
          </cell>
          <cell r="E44" t="str">
            <v>1A glass fuse (10 pack)</v>
          </cell>
          <cell r="F44" t="str">
            <v>All models</v>
          </cell>
          <cell r="G44" t="str">
            <v>POA</v>
          </cell>
        </row>
        <row r="45">
          <cell r="C45" t="str">
            <v>HPAS141</v>
          </cell>
          <cell r="D45">
            <v>5056003708349</v>
          </cell>
          <cell r="E45" t="str">
            <v>5A glass fuse (10 pack)</v>
          </cell>
          <cell r="F45" t="str">
            <v>All models</v>
          </cell>
          <cell r="G45" t="str">
            <v>POA</v>
          </cell>
        </row>
        <row r="46">
          <cell r="C46" t="str">
            <v>HPAS19</v>
          </cell>
          <cell r="D46">
            <v>5056003703894</v>
          </cell>
          <cell r="E46" t="str">
            <v>12V Transformer</v>
          </cell>
          <cell r="F46" t="str">
            <v>All HPAW &amp; ASHE models</v>
          </cell>
          <cell r="G46" t="str">
            <v>POA</v>
          </cell>
        </row>
        <row r="47">
          <cell r="C47" t="str">
            <v>HPAS20</v>
          </cell>
          <cell r="D47">
            <v>5056003703870</v>
          </cell>
          <cell r="E47" t="str">
            <v>24V Transformer</v>
          </cell>
          <cell r="F47" t="str">
            <v>All HPAW &amp; ASHE models</v>
          </cell>
          <cell r="G47" t="str">
            <v>POA</v>
          </cell>
        </row>
        <row r="48">
          <cell r="C48" t="str">
            <v>HPAS32</v>
          </cell>
          <cell r="D48">
            <v>5056003704709</v>
          </cell>
          <cell r="E48" t="str">
            <v>3/4" Male 22mm Hose</v>
          </cell>
          <cell r="F48" t="str">
            <v>HPAW65/85, ASHE65/85</v>
          </cell>
          <cell r="G48" t="str">
            <v>POA</v>
          </cell>
        </row>
        <row r="49">
          <cell r="C49" t="str">
            <v>HPAS33</v>
          </cell>
          <cell r="D49">
            <v>5056003704716</v>
          </cell>
          <cell r="E49" t="str">
            <v>1" Male 28mm Hose</v>
          </cell>
          <cell r="F49" t="str">
            <v>HPAW110/130/155, ASHE125/175/215</v>
          </cell>
          <cell r="G49" t="str">
            <v>POA</v>
          </cell>
        </row>
        <row r="50">
          <cell r="C50" t="str">
            <v>HPAS36</v>
          </cell>
          <cell r="D50">
            <v>5056003703962</v>
          </cell>
          <cell r="E50" t="str">
            <v xml:space="preserve">Fan blade  </v>
          </cell>
          <cell r="F50" t="str">
            <v>HPAW65</v>
          </cell>
          <cell r="G50" t="str">
            <v>POA</v>
          </cell>
        </row>
        <row r="51">
          <cell r="C51" t="str">
            <v>HPAS37</v>
          </cell>
          <cell r="D51">
            <v>5056003703955</v>
          </cell>
          <cell r="E51" t="str">
            <v xml:space="preserve">Fan blade  </v>
          </cell>
          <cell r="F51" t="str">
            <v>HPAW85/110/130/155</v>
          </cell>
          <cell r="G51" t="str">
            <v>POA</v>
          </cell>
        </row>
        <row r="52">
          <cell r="C52" t="str">
            <v>HPAS41</v>
          </cell>
          <cell r="D52">
            <v>5056003703917</v>
          </cell>
          <cell r="E52" t="str">
            <v>Fan Nut</v>
          </cell>
          <cell r="F52" t="str">
            <v>HPAW85/110/135/155, ASHE125/175/215</v>
          </cell>
          <cell r="G52" t="str">
            <v>POA</v>
          </cell>
        </row>
        <row r="53">
          <cell r="C53" t="str">
            <v>HPAS42</v>
          </cell>
          <cell r="D53">
            <v>5056003703900</v>
          </cell>
          <cell r="E53" t="str">
            <v>Fan Washer</v>
          </cell>
          <cell r="F53" t="str">
            <v>All HPAW &amp; ASHE models</v>
          </cell>
          <cell r="G53" t="str">
            <v>POA</v>
          </cell>
        </row>
        <row r="54">
          <cell r="C54" t="str">
            <v>HPAS55</v>
          </cell>
          <cell r="D54">
            <v>5056003704754</v>
          </cell>
          <cell r="E54" t="str">
            <v>Automatic Air Vent</v>
          </cell>
          <cell r="F54" t="str">
            <v>All HPAW &amp; ASHE models</v>
          </cell>
          <cell r="G54" t="str">
            <v>POA</v>
          </cell>
        </row>
        <row r="55">
          <cell r="C55" t="str">
            <v>HPAS57</v>
          </cell>
          <cell r="D55">
            <v>5056003703764</v>
          </cell>
          <cell r="E55" t="str">
            <v>Element Supply Block</v>
          </cell>
          <cell r="F55" t="str">
            <v>All HPAW &amp; ASHE models</v>
          </cell>
          <cell r="G55" t="str">
            <v>POA</v>
          </cell>
        </row>
        <row r="56">
          <cell r="C56" t="str">
            <v>HPAS58</v>
          </cell>
          <cell r="D56">
            <v>5056003703757</v>
          </cell>
          <cell r="E56" t="str">
            <v>Pressure Gauge</v>
          </cell>
          <cell r="F56" t="str">
            <v>All HPAW models</v>
          </cell>
          <cell r="G56" t="str">
            <v>POA</v>
          </cell>
        </row>
        <row r="57">
          <cell r="C57" t="str">
            <v>HPAS59B</v>
          </cell>
          <cell r="D57">
            <v>5056003723632</v>
          </cell>
          <cell r="E57" t="str">
            <v>Black Grill Cage</v>
          </cell>
          <cell r="F57" t="str">
            <v>All HPAW models</v>
          </cell>
          <cell r="G57" t="str">
            <v>POA</v>
          </cell>
        </row>
        <row r="58">
          <cell r="C58" t="str">
            <v>HPAS60</v>
          </cell>
          <cell r="D58">
            <v>5056003704303</v>
          </cell>
          <cell r="E58" t="str">
            <v>Contactor 45A Relay</v>
          </cell>
          <cell r="F58" t="str">
            <v>All HPAW models</v>
          </cell>
          <cell r="G58" t="str">
            <v>POA</v>
          </cell>
        </row>
        <row r="59">
          <cell r="C59" t="str">
            <v>HPAS64</v>
          </cell>
          <cell r="D59">
            <v>5056003703627</v>
          </cell>
          <cell r="E59" t="str">
            <v>Base Tray Wire</v>
          </cell>
          <cell r="F59" t="str">
            <v>All HPAW &amp; ASHE models</v>
          </cell>
          <cell r="G59" t="str">
            <v>POA</v>
          </cell>
        </row>
        <row r="60">
          <cell r="C60" t="str">
            <v>HPAS65</v>
          </cell>
          <cell r="D60">
            <v>5056003703610</v>
          </cell>
          <cell r="E60" t="str">
            <v>Neutral Connector Block</v>
          </cell>
          <cell r="F60" t="str">
            <v>All HPAW &amp; ASHE models</v>
          </cell>
          <cell r="G60" t="str">
            <v>POA</v>
          </cell>
        </row>
        <row r="61">
          <cell r="C61" t="str">
            <v>HPAS80</v>
          </cell>
          <cell r="D61">
            <v>5056003703733</v>
          </cell>
          <cell r="E61" t="str">
            <v>Bolt for Grill Cage (pack of 4)</v>
          </cell>
          <cell r="F61" t="str">
            <v>All HPAW models</v>
          </cell>
          <cell r="G61" t="str">
            <v>POA</v>
          </cell>
        </row>
        <row r="62">
          <cell r="C62" t="str">
            <v>HPAS81</v>
          </cell>
          <cell r="D62">
            <v>5056003703726</v>
          </cell>
          <cell r="E62" t="str">
            <v>Stainless Steel Washer for Grill Cage (pack of four)</v>
          </cell>
          <cell r="F62" t="str">
            <v>All HPAW models</v>
          </cell>
          <cell r="G62" t="str">
            <v>POA</v>
          </cell>
        </row>
        <row r="63">
          <cell r="C63" t="str">
            <v>HPAS82</v>
          </cell>
          <cell r="D63">
            <v>5056003703719</v>
          </cell>
          <cell r="E63" t="str">
            <v>Plastic Washer for Grill Cage (pack of four)</v>
          </cell>
          <cell r="F63" t="str">
            <v>All HPAW models</v>
          </cell>
          <cell r="G63" t="str">
            <v>POA</v>
          </cell>
        </row>
        <row r="64">
          <cell r="C64" t="str">
            <v>HPAS91</v>
          </cell>
          <cell r="D64">
            <v>5056003704341</v>
          </cell>
          <cell r="E64" t="str">
            <v>Low Pressure Switch</v>
          </cell>
          <cell r="F64" t="str">
            <v>All HPAW models</v>
          </cell>
          <cell r="G64" t="str">
            <v>POA</v>
          </cell>
        </row>
        <row r="65">
          <cell r="C65" t="str">
            <v>HPAS92</v>
          </cell>
          <cell r="D65">
            <v>5056003704358</v>
          </cell>
          <cell r="E65" t="str">
            <v>Mid Pressure Switch</v>
          </cell>
          <cell r="F65" t="str">
            <v>All HPAW models</v>
          </cell>
          <cell r="G65" t="str">
            <v>POA</v>
          </cell>
        </row>
        <row r="66">
          <cell r="C66" t="str">
            <v>HPAS93</v>
          </cell>
          <cell r="D66">
            <v>5056003704372</v>
          </cell>
          <cell r="E66" t="str">
            <v>High Pressure Switch</v>
          </cell>
          <cell r="F66" t="str">
            <v>HPAW65/85/110/130</v>
          </cell>
          <cell r="G66" t="str">
            <v>POA</v>
          </cell>
        </row>
        <row r="67">
          <cell r="C67" t="str">
            <v>HPAS95</v>
          </cell>
          <cell r="D67">
            <v>5056003705522</v>
          </cell>
          <cell r="E67" t="str">
            <v xml:space="preserve">Control Panel cover  </v>
          </cell>
          <cell r="F67" t="str">
            <v>All HPAW models</v>
          </cell>
          <cell r="G67" t="str">
            <v>POA</v>
          </cell>
        </row>
        <row r="68">
          <cell r="C68" t="str">
            <v>HPAWSOFTA</v>
          </cell>
          <cell r="D68">
            <v>5056003704518</v>
          </cell>
          <cell r="E68" t="str">
            <v>Soft Start</v>
          </cell>
          <cell r="F68" t="str">
            <v xml:space="preserve">HPAW65/85, ASHE65 </v>
          </cell>
          <cell r="G68">
            <v>297.7</v>
          </cell>
        </row>
        <row r="69">
          <cell r="C69" t="str">
            <v>HPAWSOFTB</v>
          </cell>
          <cell r="D69">
            <v>5056003704525</v>
          </cell>
          <cell r="E69" t="str">
            <v>Soft Start</v>
          </cell>
          <cell r="F69" t="str">
            <v>HPAW110, ASHE85/175</v>
          </cell>
          <cell r="G69">
            <v>297.7</v>
          </cell>
        </row>
        <row r="70">
          <cell r="C70" t="str">
            <v>HPAWSOFTC</v>
          </cell>
          <cell r="D70">
            <v>5056003705799</v>
          </cell>
          <cell r="E70" t="str">
            <v>Soft Start</v>
          </cell>
          <cell r="F70" t="str">
            <v>HPAW130/155, ASHE125/215</v>
          </cell>
          <cell r="G70">
            <v>297.7</v>
          </cell>
        </row>
        <row r="71">
          <cell r="C71" t="str">
            <v>HPID761569</v>
          </cell>
          <cell r="D71">
            <v>5056003709223</v>
          </cell>
          <cell r="E71" t="str">
            <v>QUICK FASTENER HPID10</v>
          </cell>
          <cell r="F71" t="str">
            <v>HPID10</v>
          </cell>
          <cell r="G71" t="str">
            <v>POA</v>
          </cell>
        </row>
        <row r="72">
          <cell r="C72" t="str">
            <v>HPID790706</v>
          </cell>
          <cell r="D72">
            <v>5056003708912</v>
          </cell>
          <cell r="E72" t="str">
            <v>QUICK FASTENER (12.7)</v>
          </cell>
          <cell r="F72" t="str">
            <v>HPID6, HPID10, HPID16</v>
          </cell>
          <cell r="G72" t="str">
            <v>POA</v>
          </cell>
        </row>
        <row r="73">
          <cell r="C73" t="str">
            <v>HPID807205</v>
          </cell>
          <cell r="D73">
            <v>5056003709193</v>
          </cell>
          <cell r="E73" t="str">
            <v xml:space="preserve">O RING (P6) </v>
          </cell>
          <cell r="F73" t="str">
            <v>HPID10</v>
          </cell>
          <cell r="G73">
            <v>1.94</v>
          </cell>
        </row>
        <row r="74">
          <cell r="C74" t="str">
            <v>HPID807207</v>
          </cell>
          <cell r="D74">
            <v>5056003708875</v>
          </cell>
          <cell r="E74" t="str">
            <v>O RING (P4)</v>
          </cell>
          <cell r="F74" t="str">
            <v>HPID6 HPID10 HPID16</v>
          </cell>
          <cell r="G74">
            <v>1.94</v>
          </cell>
        </row>
        <row r="75">
          <cell r="C75" t="str">
            <v>HPID807209</v>
          </cell>
          <cell r="D75">
            <v>5056003708868</v>
          </cell>
          <cell r="E75" t="str">
            <v>O RING (P3)</v>
          </cell>
          <cell r="F75" t="str">
            <v>HPID6 HPID10 HPID16</v>
          </cell>
          <cell r="G75">
            <v>1.94</v>
          </cell>
        </row>
        <row r="76">
          <cell r="C76" t="str">
            <v>HPID807213</v>
          </cell>
          <cell r="D76">
            <v>5056003709209</v>
          </cell>
          <cell r="E76" t="str">
            <v>O RING (P16)</v>
          </cell>
          <cell r="F76" t="str">
            <v>HPID10 HPID16</v>
          </cell>
          <cell r="G76">
            <v>1.94</v>
          </cell>
        </row>
        <row r="77">
          <cell r="C77" t="str">
            <v>HPID808972</v>
          </cell>
          <cell r="D77">
            <v>5056003708882</v>
          </cell>
          <cell r="E77" t="str">
            <v>O RING (P12.5)</v>
          </cell>
          <cell r="F77" t="str">
            <v>HPID6 HPID10 HPID16</v>
          </cell>
          <cell r="G77">
            <v>3.24</v>
          </cell>
        </row>
        <row r="78">
          <cell r="C78" t="str">
            <v>HPID883634</v>
          </cell>
          <cell r="D78">
            <v>5056003709025</v>
          </cell>
          <cell r="E78" t="str">
            <v>CONDENSER ASSEMBLY</v>
          </cell>
          <cell r="F78" t="str">
            <v>HPID10</v>
          </cell>
          <cell r="G78">
            <v>426.8</v>
          </cell>
        </row>
        <row r="79">
          <cell r="C79" t="str">
            <v>HPID883743</v>
          </cell>
          <cell r="D79">
            <v>5056003708592</v>
          </cell>
          <cell r="E79" t="str">
            <v>CONDENSER ASSEMBLY</v>
          </cell>
          <cell r="F79" t="str">
            <v>HPID6</v>
          </cell>
          <cell r="G79">
            <v>293.10000000000002</v>
          </cell>
        </row>
        <row r="80">
          <cell r="C80" t="str">
            <v>HPID883744</v>
          </cell>
          <cell r="D80">
            <v>5056003708639</v>
          </cell>
          <cell r="E80" t="str">
            <v>HEAT EXCHANGER ASSEMBLY</v>
          </cell>
          <cell r="F80" t="str">
            <v>HPID6</v>
          </cell>
          <cell r="G80">
            <v>484.7</v>
          </cell>
        </row>
        <row r="81">
          <cell r="C81" t="str">
            <v>HPID883778</v>
          </cell>
          <cell r="D81">
            <v>5056003708806</v>
          </cell>
          <cell r="E81" t="str">
            <v>CIRCULATING WATER RETURN PORT ASSEMBLY</v>
          </cell>
          <cell r="F81" t="str">
            <v>HPID6</v>
          </cell>
          <cell r="G81" t="str">
            <v>POA</v>
          </cell>
        </row>
        <row r="82">
          <cell r="C82" t="str">
            <v>HPID883782</v>
          </cell>
          <cell r="D82">
            <v>5056003708660</v>
          </cell>
          <cell r="E82" t="str">
            <v>VIBRATION PROOF RUBBER</v>
          </cell>
          <cell r="F82" t="str">
            <v>HPID6</v>
          </cell>
          <cell r="G82" t="str">
            <v>POA</v>
          </cell>
        </row>
        <row r="83">
          <cell r="C83" t="str">
            <v>HPID883784</v>
          </cell>
          <cell r="D83">
            <v>5056003708745</v>
          </cell>
          <cell r="E83" t="str">
            <v>RUBBER HOSE (FOR RELIEF VALVE)</v>
          </cell>
          <cell r="F83" t="str">
            <v>HPID6</v>
          </cell>
          <cell r="G83" t="str">
            <v>POA</v>
          </cell>
        </row>
        <row r="84">
          <cell r="C84" t="str">
            <v>HPID883786</v>
          </cell>
          <cell r="D84">
            <v>5056003708813</v>
          </cell>
          <cell r="E84" t="str">
            <v>RUBBER HOSE 1</v>
          </cell>
          <cell r="F84" t="str">
            <v>HPID6</v>
          </cell>
          <cell r="G84" t="str">
            <v>POA</v>
          </cell>
        </row>
        <row r="85">
          <cell r="C85" t="str">
            <v>HPID883790</v>
          </cell>
          <cell r="D85">
            <v>5056003708851</v>
          </cell>
          <cell r="E85" t="str">
            <v xml:space="preserve">RUBBER HOSE 6 </v>
          </cell>
          <cell r="F85" t="str">
            <v>HPID6</v>
          </cell>
          <cell r="G85" t="str">
            <v>POA</v>
          </cell>
        </row>
        <row r="86">
          <cell r="C86" t="str">
            <v>HPID883848</v>
          </cell>
          <cell r="D86">
            <v>5056003708905</v>
          </cell>
          <cell r="E86" t="str">
            <v>QUICK FASTENER (FOR SENSOR TEMP.WATER)</v>
          </cell>
          <cell r="F86" t="str">
            <v>HPID6, HPID10, HPID16</v>
          </cell>
          <cell r="G86" t="str">
            <v>POA</v>
          </cell>
        </row>
        <row r="87">
          <cell r="C87" t="str">
            <v>HPID884120</v>
          </cell>
          <cell r="D87">
            <v>5056003709360</v>
          </cell>
          <cell r="E87" t="str">
            <v>HIGH PRESSURE SWITCH</v>
          </cell>
          <cell r="F87" t="str">
            <v>HPID16</v>
          </cell>
          <cell r="G87">
            <v>25.5</v>
          </cell>
        </row>
        <row r="88">
          <cell r="C88" t="str">
            <v>HPID884129</v>
          </cell>
          <cell r="D88">
            <v>5056003709261</v>
          </cell>
          <cell r="E88" t="str">
            <v>WIRING LID</v>
          </cell>
          <cell r="F88" t="str">
            <v>HPID16</v>
          </cell>
          <cell r="G88" t="str">
            <v>POA</v>
          </cell>
        </row>
        <row r="89">
          <cell r="C89" t="str">
            <v>HPID884130</v>
          </cell>
          <cell r="D89">
            <v>5056003709476</v>
          </cell>
          <cell r="E89" t="str">
            <v>DEFROST HEATER</v>
          </cell>
          <cell r="F89" t="str">
            <v>HPID16</v>
          </cell>
          <cell r="G89">
            <v>178.4</v>
          </cell>
        </row>
        <row r="90">
          <cell r="C90" t="str">
            <v>HPID884131</v>
          </cell>
          <cell r="D90">
            <v>5056003723861</v>
          </cell>
          <cell r="E90" t="str">
            <v>DEFROST HEATER HOLDER 1</v>
          </cell>
          <cell r="F90" t="str">
            <v>HPID16</v>
          </cell>
          <cell r="G90" t="str">
            <v>POA</v>
          </cell>
        </row>
        <row r="91">
          <cell r="C91" t="str">
            <v>HPID884132</v>
          </cell>
          <cell r="D91">
            <v>5056003723878</v>
          </cell>
          <cell r="E91" t="str">
            <v>DEFROST HEATER HOLDER 2</v>
          </cell>
          <cell r="F91" t="str">
            <v>HPID10, HPID16</v>
          </cell>
          <cell r="G91" t="str">
            <v>POA</v>
          </cell>
        </row>
        <row r="92">
          <cell r="C92" t="str">
            <v>HPID884135</v>
          </cell>
          <cell r="D92">
            <v>5056003709339</v>
          </cell>
          <cell r="E92" t="str">
            <v>VIBRATION PROOF RUBBER</v>
          </cell>
          <cell r="F92" t="str">
            <v>HPID16</v>
          </cell>
          <cell r="G92" t="str">
            <v>POA</v>
          </cell>
        </row>
        <row r="93">
          <cell r="C93" t="str">
            <v>HPID884136</v>
          </cell>
          <cell r="D93">
            <v>5056003709346</v>
          </cell>
          <cell r="E93" t="str">
            <v>CONDENSER ASSEMBLY</v>
          </cell>
          <cell r="F93" t="str">
            <v>HPID16</v>
          </cell>
          <cell r="G93">
            <v>917.5</v>
          </cell>
        </row>
        <row r="94">
          <cell r="C94" t="str">
            <v>HPID884148</v>
          </cell>
          <cell r="D94">
            <v>5056003709247</v>
          </cell>
          <cell r="E94" t="str">
            <v>QUICK FASTENER (16B)</v>
          </cell>
          <cell r="F94" t="str">
            <v>HPID10, HPID16</v>
          </cell>
          <cell r="G94" t="str">
            <v>POA</v>
          </cell>
        </row>
        <row r="95">
          <cell r="C95" t="str">
            <v>HPID884163</v>
          </cell>
          <cell r="D95">
            <v>5056003723885</v>
          </cell>
          <cell r="E95" t="str">
            <v>DEFROST HEATER HOLDER 1</v>
          </cell>
          <cell r="F95" t="str">
            <v>HPID10</v>
          </cell>
          <cell r="G95" t="str">
            <v>POA</v>
          </cell>
        </row>
        <row r="96">
          <cell r="C96" t="str">
            <v>HPID884211</v>
          </cell>
          <cell r="D96">
            <v>5056003708967</v>
          </cell>
          <cell r="E96" t="str">
            <v>DEFROST HEATER</v>
          </cell>
          <cell r="F96" t="str">
            <v>HPID6</v>
          </cell>
          <cell r="G96">
            <v>158</v>
          </cell>
        </row>
        <row r="97">
          <cell r="C97" t="str">
            <v>HPID884212</v>
          </cell>
          <cell r="D97">
            <v>5056003723892</v>
          </cell>
          <cell r="E97" t="str">
            <v>DEFROST HEATER HOLDER 1</v>
          </cell>
          <cell r="F97" t="str">
            <v>HPID6</v>
          </cell>
          <cell r="G97" t="str">
            <v>POA</v>
          </cell>
        </row>
        <row r="98">
          <cell r="C98" t="str">
            <v>HPID884560</v>
          </cell>
          <cell r="D98">
            <v>5056003708790</v>
          </cell>
          <cell r="E98" t="str">
            <v>CIRCULATING WATER OUTGOING PORT ASSEMBLY</v>
          </cell>
          <cell r="F98" t="str">
            <v>HPID6</v>
          </cell>
          <cell r="G98" t="str">
            <v>POA</v>
          </cell>
        </row>
        <row r="99">
          <cell r="C99" t="str">
            <v>HPID884561</v>
          </cell>
          <cell r="D99">
            <v>5056003708820</v>
          </cell>
          <cell r="E99" t="str">
            <v>RUBBER HOSE 8</v>
          </cell>
          <cell r="F99" t="str">
            <v>HPID6</v>
          </cell>
          <cell r="G99" t="str">
            <v>POA</v>
          </cell>
        </row>
        <row r="100">
          <cell r="C100" t="str">
            <v>HPID885259</v>
          </cell>
          <cell r="D100">
            <v>5056003709179</v>
          </cell>
          <cell r="E100" t="str">
            <v>REACTOR</v>
          </cell>
          <cell r="F100" t="str">
            <v>HPID10 HPID16</v>
          </cell>
          <cell r="G100">
            <v>43.32</v>
          </cell>
        </row>
        <row r="101">
          <cell r="C101" t="str">
            <v>HPID885262</v>
          </cell>
          <cell r="D101">
            <v>5056003709407</v>
          </cell>
          <cell r="E101" t="str">
            <v>HEAT EXCHANGER ASSEMBLY</v>
          </cell>
          <cell r="F101" t="str">
            <v>HPID16</v>
          </cell>
          <cell r="G101">
            <v>790.9</v>
          </cell>
        </row>
        <row r="102">
          <cell r="C102" t="str">
            <v>HPID885264</v>
          </cell>
          <cell r="D102">
            <v>5056003708974</v>
          </cell>
          <cell r="E102" t="str">
            <v>POWER TRANSFORMER</v>
          </cell>
          <cell r="F102" t="str">
            <v>HPID6 HPID10 HPID16</v>
          </cell>
          <cell r="G102">
            <v>30.6</v>
          </cell>
        </row>
        <row r="103">
          <cell r="C103" t="str">
            <v>HPID885266</v>
          </cell>
          <cell r="D103">
            <v>5056003708776</v>
          </cell>
          <cell r="E103" t="str">
            <v>AIR PURGE VALVE</v>
          </cell>
          <cell r="F103" t="str">
            <v>HPID6 HPID10 HPID16</v>
          </cell>
          <cell r="G103">
            <v>25.5</v>
          </cell>
        </row>
        <row r="104">
          <cell r="C104" t="str">
            <v>HPID885267</v>
          </cell>
          <cell r="D104">
            <v>5056003709384</v>
          </cell>
          <cell r="E104" t="str">
            <v>CIRCULATING WATER PIPE ASSEMBLY</v>
          </cell>
          <cell r="F104" t="str">
            <v>HPID16</v>
          </cell>
          <cell r="G104">
            <v>165.8</v>
          </cell>
        </row>
        <row r="105">
          <cell r="C105" t="str">
            <v>HPID885269</v>
          </cell>
          <cell r="D105">
            <v>5056003709414</v>
          </cell>
          <cell r="E105" t="str">
            <v>CIRCULATING WATER RETURN PORT</v>
          </cell>
          <cell r="F105" t="str">
            <v>HPID16</v>
          </cell>
          <cell r="G105" t="str">
            <v>POA</v>
          </cell>
        </row>
        <row r="106">
          <cell r="C106" t="str">
            <v>HPID885270</v>
          </cell>
          <cell r="D106">
            <v>5056003709421</v>
          </cell>
          <cell r="E106" t="str">
            <v>HOSE COUPLING 1 ASSEMBLY (PUMP INPUT)</v>
          </cell>
          <cell r="F106" t="str">
            <v>HPID16</v>
          </cell>
          <cell r="G106" t="str">
            <v>POA</v>
          </cell>
        </row>
        <row r="107">
          <cell r="C107" t="str">
            <v>HPID885271</v>
          </cell>
          <cell r="D107">
            <v>5056003709100</v>
          </cell>
          <cell r="E107" t="str">
            <v>HOSE COUPLING 2 (PUMP OUTLET)</v>
          </cell>
          <cell r="F107" t="str">
            <v>HPID10, HPID16</v>
          </cell>
          <cell r="G107" t="str">
            <v>POA</v>
          </cell>
        </row>
        <row r="108">
          <cell r="C108" t="str">
            <v>HPID885272</v>
          </cell>
          <cell r="D108">
            <v>5056003709117</v>
          </cell>
          <cell r="E108" t="str">
            <v>HOSE COUPLING 3 (PUMP OUTLET)</v>
          </cell>
          <cell r="F108" t="str">
            <v>HPID10, HPID16</v>
          </cell>
          <cell r="G108" t="str">
            <v>POA</v>
          </cell>
        </row>
        <row r="109">
          <cell r="C109" t="str">
            <v>HPID885273</v>
          </cell>
          <cell r="D109">
            <v>5056003709124</v>
          </cell>
          <cell r="E109" t="str">
            <v>RUBBER HOSE (PUMP INLET WATER)</v>
          </cell>
          <cell r="F109" t="str">
            <v>HPID10, HPID16</v>
          </cell>
          <cell r="G109" t="str">
            <v>POA</v>
          </cell>
        </row>
        <row r="110">
          <cell r="C110" t="str">
            <v>HPID885274</v>
          </cell>
          <cell r="D110">
            <v>5056003709438</v>
          </cell>
          <cell r="E110" t="str">
            <v>RUBBER HOSE (PUMP OUTLET)</v>
          </cell>
          <cell r="F110" t="str">
            <v>HPID16</v>
          </cell>
          <cell r="G110" t="str">
            <v>POA</v>
          </cell>
        </row>
        <row r="111">
          <cell r="C111" t="str">
            <v>HPID885275</v>
          </cell>
          <cell r="D111">
            <v>5056003709452</v>
          </cell>
          <cell r="E111" t="str">
            <v>RUBBER HOSE</v>
          </cell>
          <cell r="F111" t="str">
            <v>HPID16</v>
          </cell>
          <cell r="G111" t="str">
            <v>POA</v>
          </cell>
        </row>
        <row r="112">
          <cell r="C112" t="str">
            <v>HPID885395</v>
          </cell>
          <cell r="D112">
            <v>5056003708950</v>
          </cell>
          <cell r="E112" t="str">
            <v>CIRCULATING WATER CONNECTION COUPLING</v>
          </cell>
          <cell r="F112" t="str">
            <v>HPID6</v>
          </cell>
          <cell r="G112" t="str">
            <v>POA</v>
          </cell>
        </row>
        <row r="113">
          <cell r="C113" t="str">
            <v>HPID885396</v>
          </cell>
          <cell r="D113">
            <v>5056003708837</v>
          </cell>
          <cell r="E113" t="str">
            <v>RUBBER HOSE 3</v>
          </cell>
          <cell r="F113" t="str">
            <v>HPID6</v>
          </cell>
          <cell r="G113" t="str">
            <v>POA</v>
          </cell>
        </row>
        <row r="114">
          <cell r="C114" t="str">
            <v>HPID885397</v>
          </cell>
          <cell r="D114">
            <v>5056003708844</v>
          </cell>
          <cell r="E114" t="str">
            <v>RUBBER HOSE 4</v>
          </cell>
          <cell r="F114" t="str">
            <v>HPID6</v>
          </cell>
          <cell r="G114" t="str">
            <v>POA</v>
          </cell>
        </row>
        <row r="115">
          <cell r="C115" t="str">
            <v>HPID885506</v>
          </cell>
          <cell r="D115">
            <v>5056003723960</v>
          </cell>
          <cell r="E115" t="str">
            <v>BOTTOM PANEL ASSEMBLY (WITHOUT HEATER)</v>
          </cell>
          <cell r="F115" t="str">
            <v>HPID10</v>
          </cell>
          <cell r="G115">
            <v>102</v>
          </cell>
        </row>
        <row r="116">
          <cell r="C116" t="str">
            <v>HPID885507</v>
          </cell>
          <cell r="D116">
            <v>5056003709018</v>
          </cell>
          <cell r="E116" t="str">
            <v>WIRING LID</v>
          </cell>
          <cell r="F116" t="str">
            <v>HPID10</v>
          </cell>
          <cell r="G116" t="str">
            <v>POA</v>
          </cell>
        </row>
        <row r="117">
          <cell r="C117" t="str">
            <v>HPID885508</v>
          </cell>
          <cell r="D117">
            <v>5056003709254</v>
          </cell>
          <cell r="E117" t="str">
            <v>DEFROST HEATER</v>
          </cell>
          <cell r="F117" t="str">
            <v>HPID10</v>
          </cell>
          <cell r="G117">
            <v>178.4</v>
          </cell>
        </row>
        <row r="118">
          <cell r="C118" t="str">
            <v>HPID885509</v>
          </cell>
          <cell r="D118">
            <v>5056003709070</v>
          </cell>
          <cell r="E118" t="str">
            <v>HEAT EXCHANGER ASSEMBLY</v>
          </cell>
          <cell r="F118" t="str">
            <v>HPID10</v>
          </cell>
          <cell r="G118">
            <v>714.3</v>
          </cell>
        </row>
        <row r="119">
          <cell r="C119" t="str">
            <v>HPID885516</v>
          </cell>
          <cell r="D119">
            <v>5056003709094</v>
          </cell>
          <cell r="E119" t="str">
            <v>HOSE COUPLING 1 ASSEMBLY (PUMP INLET)</v>
          </cell>
          <cell r="F119" t="str">
            <v>HPID10</v>
          </cell>
          <cell r="G119" t="str">
            <v>POA</v>
          </cell>
        </row>
        <row r="120">
          <cell r="C120" t="str">
            <v>HPID885517</v>
          </cell>
          <cell r="D120">
            <v>5056003709131</v>
          </cell>
          <cell r="E120" t="str">
            <v>RUBBER HOSE (PUMP OUTLET WATER)</v>
          </cell>
          <cell r="F120" t="str">
            <v>HPID10</v>
          </cell>
          <cell r="G120" t="str">
            <v>POA</v>
          </cell>
        </row>
        <row r="121">
          <cell r="C121" t="str">
            <v>HPID885519</v>
          </cell>
          <cell r="D121">
            <v>5056003723977</v>
          </cell>
          <cell r="E121" t="str">
            <v>DRAIN PLUG</v>
          </cell>
          <cell r="F121" t="str">
            <v>HPID6, HPID10, HPID16</v>
          </cell>
          <cell r="G121" t="str">
            <v>POA</v>
          </cell>
        </row>
        <row r="122">
          <cell r="C122" t="str">
            <v>HPID885520</v>
          </cell>
          <cell r="D122">
            <v>5056003709148</v>
          </cell>
          <cell r="E122" t="str">
            <v>RUBBER HOSE (FOR RELIEF VALVE)</v>
          </cell>
          <cell r="F122" t="str">
            <v>HPID10</v>
          </cell>
          <cell r="G122" t="str">
            <v>POA</v>
          </cell>
        </row>
        <row r="123">
          <cell r="C123" t="str">
            <v>HPID885783</v>
          </cell>
          <cell r="D123">
            <v>5056003710052</v>
          </cell>
          <cell r="E123" t="str">
            <v>Corner Cover Set (Top Panel) PK of 4</v>
          </cell>
          <cell r="G123">
            <v>4.84</v>
          </cell>
        </row>
        <row r="124">
          <cell r="C124" t="str">
            <v>HPID90ELBOW11/4</v>
          </cell>
          <cell r="D124">
            <v>5056003724028</v>
          </cell>
          <cell r="E124" t="str">
            <v>1"1/4 MALE TO 1" 1/4 FEMALE S/S 90 ELBOW FOR 35MM HOSE</v>
          </cell>
          <cell r="G124">
            <v>20.47</v>
          </cell>
        </row>
        <row r="125">
          <cell r="C125" t="str">
            <v>HPID910164</v>
          </cell>
          <cell r="D125">
            <v>5056003708899</v>
          </cell>
          <cell r="E125" t="str">
            <v>O RING (P14)</v>
          </cell>
          <cell r="F125" t="str">
            <v>HPID6 HPID10 HPID16</v>
          </cell>
          <cell r="G125">
            <v>1.26</v>
          </cell>
        </row>
        <row r="126">
          <cell r="C126" t="str">
            <v>HPID922330</v>
          </cell>
          <cell r="D126">
            <v>5056003708554</v>
          </cell>
          <cell r="E126" t="str">
            <v>PROPELLER FAN</v>
          </cell>
          <cell r="F126" t="str">
            <v>HPID6</v>
          </cell>
          <cell r="G126">
            <v>12.74</v>
          </cell>
        </row>
        <row r="127">
          <cell r="C127" t="str">
            <v>HPID922856</v>
          </cell>
          <cell r="D127">
            <v>5056003709216</v>
          </cell>
          <cell r="E127" t="str">
            <v>O RING (P22)</v>
          </cell>
          <cell r="F127" t="str">
            <v>HPID10 HPID16</v>
          </cell>
          <cell r="G127">
            <v>2.57</v>
          </cell>
        </row>
        <row r="128">
          <cell r="C128" t="str">
            <v>HPID927200</v>
          </cell>
          <cell r="D128">
            <v>5056003708691</v>
          </cell>
          <cell r="E128" t="str">
            <v xml:space="preserve">REACTOR </v>
          </cell>
          <cell r="F128" t="str">
            <v>HPID6</v>
          </cell>
          <cell r="G128">
            <v>43.36</v>
          </cell>
        </row>
        <row r="129">
          <cell r="C129" t="str">
            <v>HPID927368</v>
          </cell>
          <cell r="D129">
            <v>5056003708530</v>
          </cell>
          <cell r="E129" t="str">
            <v>OUTLET GRILLE</v>
          </cell>
          <cell r="F129" t="str">
            <v>HPID6</v>
          </cell>
          <cell r="G129" t="str">
            <v>POA</v>
          </cell>
        </row>
        <row r="130">
          <cell r="C130" t="str">
            <v>HPID927535</v>
          </cell>
          <cell r="D130">
            <v>5056003708936</v>
          </cell>
          <cell r="E130" t="str">
            <v>HOSE BAND B</v>
          </cell>
          <cell r="G130" t="str">
            <v>POA</v>
          </cell>
        </row>
        <row r="131">
          <cell r="C131" t="str">
            <v>HPID934914</v>
          </cell>
          <cell r="D131">
            <v>5056003708943</v>
          </cell>
          <cell r="E131" t="str">
            <v>HOSE BAND C</v>
          </cell>
          <cell r="F131" t="str">
            <v>HPID6, HPID16</v>
          </cell>
          <cell r="G131" t="str">
            <v>POA</v>
          </cell>
        </row>
        <row r="132">
          <cell r="C132" t="str">
            <v>HPID934945</v>
          </cell>
          <cell r="D132">
            <v>5056003708998</v>
          </cell>
          <cell r="E132" t="str">
            <v>PROPELLER FAN</v>
          </cell>
          <cell r="F132" t="str">
            <v>HPID10</v>
          </cell>
          <cell r="G132">
            <v>22.95</v>
          </cell>
        </row>
        <row r="133">
          <cell r="C133" t="str">
            <v>HPID934959</v>
          </cell>
          <cell r="D133">
            <v>5056003709162</v>
          </cell>
          <cell r="E133" t="str">
            <v>VIBRATION PROOF RUBBER</v>
          </cell>
          <cell r="F133" t="str">
            <v>HPID10</v>
          </cell>
          <cell r="G133" t="str">
            <v>POA</v>
          </cell>
        </row>
        <row r="134">
          <cell r="C134" t="str">
            <v>HPID934970</v>
          </cell>
          <cell r="D134">
            <v>5056003709445</v>
          </cell>
          <cell r="E134" t="str">
            <v>RUBBER HOSE (RELIEF VALVE)</v>
          </cell>
          <cell r="F134" t="str">
            <v>HPID16</v>
          </cell>
          <cell r="G134" t="str">
            <v>POA</v>
          </cell>
        </row>
        <row r="135">
          <cell r="C135" t="str">
            <v>HPID937221</v>
          </cell>
          <cell r="D135">
            <v>5056003708929</v>
          </cell>
          <cell r="E135" t="str">
            <v>HOSE BAND A</v>
          </cell>
          <cell r="F135" t="str">
            <v>HPID6, HPID10, HPID16</v>
          </cell>
          <cell r="G135" t="str">
            <v>POA</v>
          </cell>
        </row>
        <row r="136">
          <cell r="C136" t="str">
            <v>HPID937262</v>
          </cell>
          <cell r="D136">
            <v>5056003708585</v>
          </cell>
          <cell r="E136" t="str">
            <v>WIRING LID ASSEMBLY</v>
          </cell>
          <cell r="F136" t="str">
            <v>HPID6</v>
          </cell>
          <cell r="G136" t="str">
            <v>POA</v>
          </cell>
        </row>
        <row r="137">
          <cell r="C137" t="str">
            <v>HPID938106</v>
          </cell>
          <cell r="D137">
            <v>5056003709469</v>
          </cell>
          <cell r="E137" t="str">
            <v>OUTLET GRILLE</v>
          </cell>
          <cell r="F137" t="str">
            <v>HPID10, HPID16</v>
          </cell>
          <cell r="G137">
            <v>31.13</v>
          </cell>
        </row>
        <row r="138">
          <cell r="C138" t="str">
            <v>HPID938112</v>
          </cell>
          <cell r="D138">
            <v>5056003709285</v>
          </cell>
          <cell r="E138" t="str">
            <v>PROPELLER FAN</v>
          </cell>
          <cell r="F138" t="str">
            <v>HPID16</v>
          </cell>
          <cell r="G138">
            <v>28.04</v>
          </cell>
        </row>
        <row r="139">
          <cell r="C139" t="str">
            <v>HPID963516</v>
          </cell>
          <cell r="D139">
            <v>5056003709230</v>
          </cell>
          <cell r="E139" t="str">
            <v>QUICK FASTENER (16A)</v>
          </cell>
          <cell r="F139" t="str">
            <v>HPID10, HPID16</v>
          </cell>
          <cell r="G139" t="str">
            <v>POA</v>
          </cell>
        </row>
        <row r="140">
          <cell r="C140" t="str">
            <v>HPAS107</v>
          </cell>
          <cell r="D140">
            <v>5056003706772</v>
          </cell>
          <cell r="E140" t="str">
            <v>Fan Motor</v>
          </cell>
          <cell r="F140" t="str">
            <v>ASHE65/85/125/215</v>
          </cell>
          <cell r="G140" t="str">
            <v>POA</v>
          </cell>
        </row>
        <row r="141">
          <cell r="C141" t="str">
            <v>HPAS108</v>
          </cell>
          <cell r="D141">
            <v>5056003706765</v>
          </cell>
          <cell r="E141" t="str">
            <v>Fan Motor</v>
          </cell>
          <cell r="F141" t="str">
            <v>ASHE175</v>
          </cell>
          <cell r="G141" t="str">
            <v>POA</v>
          </cell>
        </row>
        <row r="142">
          <cell r="C142" t="str">
            <v>HPAS16</v>
          </cell>
          <cell r="D142">
            <v>5056003703443</v>
          </cell>
          <cell r="E142" t="str">
            <v>Fan Motor</v>
          </cell>
          <cell r="F142" t="str">
            <v>HPAW65</v>
          </cell>
          <cell r="G142" t="str">
            <v>POA</v>
          </cell>
        </row>
        <row r="143">
          <cell r="C143" t="str">
            <v>HPAS17</v>
          </cell>
          <cell r="D143">
            <v>5056003703375</v>
          </cell>
          <cell r="E143" t="str">
            <v>Fan Motor</v>
          </cell>
          <cell r="F143" t="str">
            <v>HPAW85/110/130/155</v>
          </cell>
          <cell r="G143" t="str">
            <v>POA</v>
          </cell>
        </row>
        <row r="144">
          <cell r="C144" t="str">
            <v>HPID885260</v>
          </cell>
          <cell r="D144">
            <v>5056003709278</v>
          </cell>
          <cell r="E144" t="str">
            <v>Motor</v>
          </cell>
          <cell r="F144" t="str">
            <v>HPID16</v>
          </cell>
          <cell r="G144">
            <v>127.5</v>
          </cell>
        </row>
        <row r="145">
          <cell r="C145" t="str">
            <v>HPID885510</v>
          </cell>
          <cell r="D145">
            <v>5056003709001</v>
          </cell>
          <cell r="E145" t="str">
            <v>Motor</v>
          </cell>
          <cell r="F145" t="str">
            <v>HPID10</v>
          </cell>
          <cell r="G145">
            <v>140.19999999999999</v>
          </cell>
        </row>
        <row r="146">
          <cell r="C146" t="str">
            <v>HPID934947</v>
          </cell>
          <cell r="D146">
            <v>5056003724035</v>
          </cell>
          <cell r="E146" t="str">
            <v>BRACKET, MOTOR</v>
          </cell>
          <cell r="F146" t="str">
            <v>HPID10</v>
          </cell>
          <cell r="G146">
            <v>21.93</v>
          </cell>
        </row>
        <row r="147">
          <cell r="C147" t="str">
            <v>HPID937022</v>
          </cell>
          <cell r="D147">
            <v>5056003708561</v>
          </cell>
          <cell r="E147" t="str">
            <v>Motor</v>
          </cell>
          <cell r="F147" t="str">
            <v>HPID6</v>
          </cell>
          <cell r="G147">
            <v>63.7</v>
          </cell>
        </row>
        <row r="148">
          <cell r="C148" t="str">
            <v>HPID937023</v>
          </cell>
          <cell r="D148">
            <v>5056003724042</v>
          </cell>
          <cell r="E148" t="str">
            <v>BRACKET, MOTOR</v>
          </cell>
          <cell r="F148" t="str">
            <v>HPID6</v>
          </cell>
          <cell r="G148">
            <v>21.93</v>
          </cell>
        </row>
        <row r="149">
          <cell r="C149" t="str">
            <v>HPID883741</v>
          </cell>
          <cell r="D149">
            <v>5056003723816</v>
          </cell>
          <cell r="E149" t="str">
            <v>LEFT SIDE PANEL ASSEMBLY</v>
          </cell>
          <cell r="F149" t="str">
            <v>HPID6</v>
          </cell>
          <cell r="G149" t="str">
            <v>POA</v>
          </cell>
        </row>
        <row r="150">
          <cell r="C150" t="str">
            <v>HPID883759</v>
          </cell>
          <cell r="D150">
            <v>5056003723823</v>
          </cell>
          <cell r="E150" t="str">
            <v>BOTTOM PANEL ASSEMBLY (WITHOUT HEATER)</v>
          </cell>
          <cell r="F150" t="str">
            <v>HPID6</v>
          </cell>
          <cell r="G150">
            <v>81.599999999999994</v>
          </cell>
        </row>
        <row r="151">
          <cell r="C151" t="str">
            <v>HPID885286</v>
          </cell>
          <cell r="D151">
            <v>5056003774351</v>
          </cell>
          <cell r="E151" t="str">
            <v>RIGHT SIDE PANEL HPID6R32</v>
          </cell>
          <cell r="F151" t="str">
            <v>HPID6</v>
          </cell>
          <cell r="G151">
            <v>39.54</v>
          </cell>
        </row>
        <row r="152">
          <cell r="C152" t="str">
            <v>HPID884126</v>
          </cell>
          <cell r="D152">
            <v>5056003723854</v>
          </cell>
          <cell r="E152" t="str">
            <v>BACK PANEL (LEFT)</v>
          </cell>
          <cell r="F152" t="str">
            <v>HPID16</v>
          </cell>
          <cell r="G152" t="str">
            <v>POA</v>
          </cell>
        </row>
        <row r="153">
          <cell r="C153" t="str">
            <v>HPID884552</v>
          </cell>
          <cell r="D153">
            <v>5056003723908</v>
          </cell>
          <cell r="E153" t="str">
            <v>TOP PANEL ASSEMBLY</v>
          </cell>
          <cell r="F153" t="str">
            <v>HPID16</v>
          </cell>
          <cell r="G153">
            <v>59.65</v>
          </cell>
        </row>
        <row r="154">
          <cell r="C154" t="str">
            <v>HPID884558</v>
          </cell>
          <cell r="D154">
            <v>5056003723915</v>
          </cell>
          <cell r="E154" t="str">
            <v>TOP PANEL</v>
          </cell>
          <cell r="F154" t="str">
            <v>HPID6</v>
          </cell>
          <cell r="G154" t="str">
            <v>POA</v>
          </cell>
        </row>
        <row r="155">
          <cell r="C155" t="str">
            <v>HPID887237</v>
          </cell>
          <cell r="D155">
            <v>5056003775280</v>
          </cell>
          <cell r="E155" t="str">
            <v>FRONT PANEL ASSY. INC FAN GRILLES (LEFT) HPID13R32 &amp; 17R32</v>
          </cell>
          <cell r="F155" t="str">
            <v>HPID17R32</v>
          </cell>
          <cell r="G155">
            <v>197.7</v>
          </cell>
        </row>
        <row r="156">
          <cell r="C156" t="str">
            <v>HPID885257</v>
          </cell>
          <cell r="D156">
            <v>5056003723939</v>
          </cell>
          <cell r="E156" t="str">
            <v>BACK PANEL ASSYEMBLY (RIGHT)</v>
          </cell>
          <cell r="F156" t="str">
            <v>HPID16</v>
          </cell>
          <cell r="G156">
            <v>122.5</v>
          </cell>
        </row>
        <row r="157">
          <cell r="C157" t="str">
            <v>HPID885258</v>
          </cell>
          <cell r="D157">
            <v>5056003723946</v>
          </cell>
          <cell r="E157" t="str">
            <v>BOTTOM PANEL ASSEMBLY (WITHOUT HEATER)</v>
          </cell>
          <cell r="F157" t="str">
            <v>HPID16</v>
          </cell>
          <cell r="G157">
            <v>153.1</v>
          </cell>
        </row>
        <row r="158">
          <cell r="C158" t="str">
            <v>HPID885504</v>
          </cell>
          <cell r="D158">
            <v>5056003723953</v>
          </cell>
          <cell r="E158" t="str">
            <v>TOP PANEL ASSEMBLY</v>
          </cell>
          <cell r="F158" t="str">
            <v>HPID10</v>
          </cell>
          <cell r="G158" t="str">
            <v>POA</v>
          </cell>
        </row>
        <row r="159">
          <cell r="C159" t="str">
            <v>HPID885766</v>
          </cell>
          <cell r="D159">
            <v>5056003708547</v>
          </cell>
          <cell r="E159" t="str">
            <v xml:space="preserve">FRONT PANEL ASSEMBLY  </v>
          </cell>
          <cell r="F159" t="str">
            <v>HPID6</v>
          </cell>
          <cell r="G159">
            <v>76.540000000000006</v>
          </cell>
        </row>
        <row r="160">
          <cell r="C160" t="str">
            <v>HPID885767</v>
          </cell>
          <cell r="D160">
            <v>5056003723984</v>
          </cell>
          <cell r="E160" t="str">
            <v xml:space="preserve">FRONT PANEL ASSEMBLY (LEFT) </v>
          </cell>
          <cell r="F160" t="str">
            <v>HPID10</v>
          </cell>
          <cell r="G160">
            <v>114.8</v>
          </cell>
        </row>
        <row r="161">
          <cell r="C161" t="str">
            <v>HPID885768</v>
          </cell>
          <cell r="D161">
            <v>5056003723991</v>
          </cell>
          <cell r="E161" t="str">
            <v>FRONT PANEL ASSEMBLY (RIGHT)</v>
          </cell>
          <cell r="F161" t="str">
            <v>HPID10</v>
          </cell>
          <cell r="G161">
            <v>89.3</v>
          </cell>
        </row>
        <row r="162">
          <cell r="C162" t="str">
            <v>HPID885769</v>
          </cell>
          <cell r="D162">
            <v>5056003724004</v>
          </cell>
          <cell r="E162" t="str">
            <v>BACK PANEL ASSEMBLY</v>
          </cell>
          <cell r="F162" t="str">
            <v>HPID10</v>
          </cell>
          <cell r="G162">
            <v>76.540000000000006</v>
          </cell>
        </row>
        <row r="163">
          <cell r="C163" t="str">
            <v>HPID885770</v>
          </cell>
          <cell r="D163">
            <v>5056003724011</v>
          </cell>
          <cell r="E163" t="str">
            <v>FRONT PANEL ASSEMBLY (RIGHT)</v>
          </cell>
          <cell r="F163" t="str">
            <v>HPID16</v>
          </cell>
          <cell r="G163">
            <v>89.3</v>
          </cell>
        </row>
        <row r="164">
          <cell r="C164" t="str">
            <v>HPAS18M</v>
          </cell>
          <cell r="D164">
            <v>5056003706079</v>
          </cell>
          <cell r="E164" t="str">
            <v>PCB Board</v>
          </cell>
          <cell r="F164" t="str">
            <v>HPAW65/85/110/130</v>
          </cell>
          <cell r="G164" t="str">
            <v>POA</v>
          </cell>
        </row>
        <row r="165">
          <cell r="C165" t="str">
            <v>HPAS18X</v>
          </cell>
          <cell r="D165">
            <v>5056003704464</v>
          </cell>
          <cell r="E165" t="str">
            <v>PCB Board</v>
          </cell>
          <cell r="F165" t="str">
            <v>HPAW155</v>
          </cell>
          <cell r="G165" t="str">
            <v>POA</v>
          </cell>
        </row>
        <row r="166">
          <cell r="C166" t="str">
            <v>HPAS18Y</v>
          </cell>
          <cell r="D166">
            <v>5056003706055</v>
          </cell>
          <cell r="E166" t="str">
            <v>PCB Board</v>
          </cell>
          <cell r="F166" t="str">
            <v>ASHE 17.5, 21.5</v>
          </cell>
          <cell r="G166" t="str">
            <v>POA</v>
          </cell>
        </row>
        <row r="167">
          <cell r="C167" t="str">
            <v>HPAS18Z</v>
          </cell>
          <cell r="D167">
            <v>5056003705928</v>
          </cell>
          <cell r="E167" t="str">
            <v>PCB Board</v>
          </cell>
          <cell r="F167" t="str">
            <v>ASHE 6.5,8.5,12.5</v>
          </cell>
          <cell r="G167" t="str">
            <v>POA</v>
          </cell>
        </row>
        <row r="168">
          <cell r="C168" t="str">
            <v>HPID883847</v>
          </cell>
          <cell r="D168">
            <v>5056003723847</v>
          </cell>
          <cell r="E168" t="str">
            <v>CASE OF PCB</v>
          </cell>
          <cell r="F168" t="str">
            <v>HPID6, HPID10</v>
          </cell>
          <cell r="G168" t="str">
            <v>POA</v>
          </cell>
        </row>
        <row r="169">
          <cell r="C169" t="str">
            <v>HPID885252</v>
          </cell>
          <cell r="D169">
            <v>5056003709292</v>
          </cell>
          <cell r="E169" t="str">
            <v>MAIN PCB ASSEMBLY</v>
          </cell>
          <cell r="F169" t="str">
            <v>HPID16</v>
          </cell>
          <cell r="G169">
            <v>611.70000000000005</v>
          </cell>
        </row>
        <row r="170">
          <cell r="C170" t="str">
            <v>HPID887187</v>
          </cell>
          <cell r="D170">
            <v>5056003708707</v>
          </cell>
          <cell r="E170" t="str">
            <v>TERMINAL PCB</v>
          </cell>
          <cell r="F170" t="str">
            <v>HPID6 HPID10 HPID16</v>
          </cell>
          <cell r="G170">
            <v>98.8</v>
          </cell>
        </row>
        <row r="171">
          <cell r="C171" t="str">
            <v>HPID885392</v>
          </cell>
          <cell r="D171">
            <v>5056003708738</v>
          </cell>
          <cell r="E171" t="str">
            <v xml:space="preserve">MAIN PCB  </v>
          </cell>
          <cell r="F171" t="str">
            <v>HPID6</v>
          </cell>
          <cell r="G171">
            <v>420.5</v>
          </cell>
        </row>
        <row r="172">
          <cell r="C172" t="str">
            <v>HPID885501</v>
          </cell>
          <cell r="D172">
            <v>5056003709186</v>
          </cell>
          <cell r="E172" t="str">
            <v>MAIN PCB</v>
          </cell>
          <cell r="F172" t="str">
            <v>HPID10</v>
          </cell>
          <cell r="G172">
            <v>407.8</v>
          </cell>
        </row>
        <row r="173">
          <cell r="C173" t="str">
            <v>HPID885765</v>
          </cell>
          <cell r="D173">
            <v>5056003708981</v>
          </cell>
          <cell r="E173" t="str">
            <v>CONTROLLER PCB</v>
          </cell>
          <cell r="F173" t="str">
            <v>HPID6 HPID10 HPID16</v>
          </cell>
          <cell r="G173">
            <v>127.5</v>
          </cell>
        </row>
        <row r="174">
          <cell r="C174" t="str">
            <v>HPID887228</v>
          </cell>
          <cell r="D174" t="str">
            <v>5056003775365</v>
          </cell>
          <cell r="E174" t="str">
            <v>Main PCB Board</v>
          </cell>
          <cell r="F174" t="str">
            <v>HPID13R32</v>
          </cell>
          <cell r="G174">
            <v>766</v>
          </cell>
        </row>
        <row r="175">
          <cell r="C175" t="str">
            <v>HPID887479</v>
          </cell>
          <cell r="D175" t="str">
            <v>5056003774429</v>
          </cell>
          <cell r="E175" t="str">
            <v>Main PCB Board</v>
          </cell>
          <cell r="F175" t="str">
            <v>HPID6R32</v>
          </cell>
          <cell r="G175">
            <v>444.8</v>
          </cell>
        </row>
        <row r="176">
          <cell r="C176" t="str">
            <v>HPID887489</v>
          </cell>
          <cell r="D176" t="str">
            <v>5056003774511</v>
          </cell>
          <cell r="E176" t="str">
            <v>Main PCB Board</v>
          </cell>
          <cell r="F176" t="str">
            <v>HPID10R32</v>
          </cell>
          <cell r="G176">
            <v>494.2</v>
          </cell>
        </row>
        <row r="177">
          <cell r="C177" t="str">
            <v>HPID887746</v>
          </cell>
          <cell r="D177" t="str">
            <v>5056003778151</v>
          </cell>
          <cell r="E177" t="str">
            <v>Main PCB Board</v>
          </cell>
          <cell r="F177" t="str">
            <v>HPID17R32</v>
          </cell>
          <cell r="G177">
            <v>815.4</v>
          </cell>
        </row>
        <row r="178">
          <cell r="C178" t="str">
            <v>HPAS117</v>
          </cell>
          <cell r="D178">
            <v>5056003706741</v>
          </cell>
          <cell r="E178" t="str">
            <v>SE Circulating Pump (8m)</v>
          </cell>
          <cell r="F178" t="str">
            <v>ASHE125/175</v>
          </cell>
          <cell r="G178" t="str">
            <v>POA</v>
          </cell>
        </row>
        <row r="179">
          <cell r="C179" t="str">
            <v>HPAS137</v>
          </cell>
          <cell r="D179">
            <v>5056003708110</v>
          </cell>
          <cell r="E179" t="str">
            <v>HE Circulating Pump</v>
          </cell>
          <cell r="F179" t="str">
            <v>ASHE 65,85, 125</v>
          </cell>
          <cell r="G179" t="str">
            <v>POA</v>
          </cell>
        </row>
        <row r="180">
          <cell r="C180" t="str">
            <v>HPAS138</v>
          </cell>
          <cell r="D180">
            <v>5056003708127</v>
          </cell>
          <cell r="E180" t="str">
            <v>HE Circulating Pump</v>
          </cell>
          <cell r="F180" t="str">
            <v>ASHE175</v>
          </cell>
          <cell r="G180" t="str">
            <v>POA</v>
          </cell>
        </row>
        <row r="181">
          <cell r="C181" t="str">
            <v>HPAS139</v>
          </cell>
          <cell r="D181">
            <v>5056003708134</v>
          </cell>
          <cell r="E181" t="str">
            <v>HE Circulating Pump</v>
          </cell>
          <cell r="F181" t="str">
            <v>ASHE215</v>
          </cell>
          <cell r="G181" t="str">
            <v>POA</v>
          </cell>
        </row>
        <row r="182">
          <cell r="C182" t="str">
            <v>HPAS29</v>
          </cell>
          <cell r="D182">
            <v>5056003703788</v>
          </cell>
          <cell r="E182" t="str">
            <v>SE Circulating pump (6m)</v>
          </cell>
          <cell r="F182" t="str">
            <v xml:space="preserve"> HPAW65/85/110/130 ASHE 65/85/125</v>
          </cell>
          <cell r="G182" t="str">
            <v>POA</v>
          </cell>
        </row>
        <row r="183">
          <cell r="C183" t="str">
            <v>HPAS30</v>
          </cell>
          <cell r="D183">
            <v>5056003703771</v>
          </cell>
          <cell r="E183" t="str">
            <v>SE Circulating Pump (15m)</v>
          </cell>
          <cell r="F183" t="str">
            <v xml:space="preserve"> HPAW155 &amp; ASHE 215</v>
          </cell>
          <cell r="G183" t="str">
            <v>POA</v>
          </cell>
        </row>
        <row r="184">
          <cell r="C184" t="str">
            <v>HPID885268</v>
          </cell>
          <cell r="D184">
            <v>5056003709391</v>
          </cell>
          <cell r="E184" t="str">
            <v>PUMP ASSEMBLY</v>
          </cell>
          <cell r="F184" t="str">
            <v>HPID16</v>
          </cell>
          <cell r="G184">
            <v>229.4</v>
          </cell>
        </row>
        <row r="185">
          <cell r="C185" t="str">
            <v>HPID885394</v>
          </cell>
          <cell r="D185">
            <v>5056003708646</v>
          </cell>
          <cell r="E185" t="str">
            <v>PUMP ASSEMBLY</v>
          </cell>
          <cell r="F185" t="str">
            <v>HPID6</v>
          </cell>
          <cell r="G185">
            <v>229.6</v>
          </cell>
        </row>
        <row r="186">
          <cell r="C186" t="str">
            <v>HPID885512</v>
          </cell>
          <cell r="D186">
            <v>5056003709087</v>
          </cell>
          <cell r="E186" t="str">
            <v>PUMP ASSEMBLY</v>
          </cell>
          <cell r="F186" t="str">
            <v>HPID10</v>
          </cell>
          <cell r="G186">
            <v>229.4</v>
          </cell>
        </row>
        <row r="187">
          <cell r="C187" t="str">
            <v>HPAS121</v>
          </cell>
          <cell r="D187">
            <v>5056003706611</v>
          </cell>
          <cell r="E187" t="str">
            <v xml:space="preserve">2.4 Electronic Expansion Valve  </v>
          </cell>
          <cell r="F187" t="str">
            <v>HPAW11.0,13.0,ASHE 12.5,21.5</v>
          </cell>
          <cell r="G187" t="str">
            <v>POA</v>
          </cell>
        </row>
        <row r="188">
          <cell r="C188" t="str">
            <v>HPAS121A</v>
          </cell>
          <cell r="D188">
            <v>5056003707106</v>
          </cell>
          <cell r="E188" t="str">
            <v xml:space="preserve">1.8 Electronic Expansion Valve  </v>
          </cell>
          <cell r="F188" t="str">
            <v>ASHE 6.5, 8.5, 17.5</v>
          </cell>
          <cell r="G188" t="str">
            <v>POA</v>
          </cell>
        </row>
        <row r="189">
          <cell r="C189" t="str">
            <v>HPAS127</v>
          </cell>
          <cell r="D189">
            <v>5056003707427</v>
          </cell>
          <cell r="E189" t="str">
            <v xml:space="preserve">Small Valve Coil  </v>
          </cell>
          <cell r="F189" t="str">
            <v>HPAW6.5, 8.5 &amp; ASHE 6.5, 8.5, 17.5, 21.5</v>
          </cell>
          <cell r="G189" t="str">
            <v>POA</v>
          </cell>
        </row>
        <row r="190">
          <cell r="C190" t="str">
            <v>HPAS128</v>
          </cell>
          <cell r="D190">
            <v>5056003707434</v>
          </cell>
          <cell r="E190" t="str">
            <v xml:space="preserve">Large Valve Coil  </v>
          </cell>
          <cell r="F190" t="str">
            <v>HPAW11.0, 13.0 &amp; ASHE 12.5</v>
          </cell>
          <cell r="G190" t="str">
            <v>POA</v>
          </cell>
        </row>
        <row r="191">
          <cell r="C191" t="str">
            <v>HPAS34</v>
          </cell>
          <cell r="D191">
            <v>5056003704723</v>
          </cell>
          <cell r="E191" t="str">
            <v>1/4" 22mm Isolation Valve</v>
          </cell>
          <cell r="F191" t="str">
            <v>HPAW65/85, ASHE65/85</v>
          </cell>
          <cell r="G191" t="str">
            <v>POA</v>
          </cell>
        </row>
        <row r="192">
          <cell r="C192" t="str">
            <v>HPAS35</v>
          </cell>
          <cell r="D192">
            <v>5056003704730</v>
          </cell>
          <cell r="E192" t="str">
            <v>1" 28mm Isolation Valve</v>
          </cell>
          <cell r="F192" t="str">
            <v>HPAW110/130/155, ASHE125/175/215</v>
          </cell>
          <cell r="G192" t="str">
            <v>POA</v>
          </cell>
        </row>
        <row r="193">
          <cell r="C193" t="str">
            <v>HPAS45</v>
          </cell>
          <cell r="D193">
            <v>5056003703986</v>
          </cell>
          <cell r="E193" t="str">
            <v xml:space="preserve">4-way Valve  </v>
          </cell>
          <cell r="F193" t="str">
            <v>HPAW65/85</v>
          </cell>
          <cell r="G193" t="str">
            <v>POA</v>
          </cell>
        </row>
        <row r="194">
          <cell r="C194" t="str">
            <v>HPAS45A</v>
          </cell>
          <cell r="D194">
            <v>5056003707120</v>
          </cell>
          <cell r="E194" t="str">
            <v xml:space="preserve">4-way Valve  </v>
          </cell>
          <cell r="F194" t="str">
            <v xml:space="preserve">ASHE65/85/125 </v>
          </cell>
          <cell r="G194" t="str">
            <v>POA</v>
          </cell>
        </row>
        <row r="195">
          <cell r="C195" t="str">
            <v>HPAS48</v>
          </cell>
          <cell r="D195">
            <v>5056003703993</v>
          </cell>
          <cell r="E195" t="str">
            <v xml:space="preserve">4-way Valve  </v>
          </cell>
          <cell r="F195" t="str">
            <v xml:space="preserve">HPAW110/130/155 </v>
          </cell>
          <cell r="G195" t="str">
            <v>POA</v>
          </cell>
        </row>
        <row r="196">
          <cell r="C196" t="str">
            <v>HPAS48A</v>
          </cell>
          <cell r="D196">
            <v>5056003707137</v>
          </cell>
          <cell r="E196" t="str">
            <v xml:space="preserve">4-way Valve  </v>
          </cell>
          <cell r="F196" t="str">
            <v>ASHE175</v>
          </cell>
          <cell r="G196" t="str">
            <v>POA</v>
          </cell>
        </row>
        <row r="197">
          <cell r="C197" t="str">
            <v>HPID883796</v>
          </cell>
          <cell r="D197">
            <v>5056003708752</v>
          </cell>
          <cell r="E197" t="str">
            <v xml:space="preserve">COIL, 4-WAY VALVE </v>
          </cell>
          <cell r="F197" t="str">
            <v>HPID6 HPID10 HPID16</v>
          </cell>
          <cell r="G197">
            <v>7.65</v>
          </cell>
        </row>
        <row r="198">
          <cell r="C198" t="str">
            <v>HPID883798</v>
          </cell>
          <cell r="D198">
            <v>5056003708769</v>
          </cell>
          <cell r="E198" t="str">
            <v>RELIEF VALVE</v>
          </cell>
          <cell r="F198" t="str">
            <v>HPID6 HPID10 HPID16</v>
          </cell>
          <cell r="G198">
            <v>45.9</v>
          </cell>
        </row>
        <row r="199">
          <cell r="C199" t="str">
            <v>HPID884117</v>
          </cell>
          <cell r="D199">
            <v>5056003709353</v>
          </cell>
          <cell r="E199" t="str">
            <v>4-WAY VALVE</v>
          </cell>
          <cell r="F199" t="str">
            <v>HPID16</v>
          </cell>
          <cell r="G199">
            <v>63.7</v>
          </cell>
        </row>
        <row r="200">
          <cell r="C200" t="str">
            <v>HPID884118</v>
          </cell>
          <cell r="D200">
            <v>5056003709377</v>
          </cell>
          <cell r="E200" t="str">
            <v>EXPANSION VALVE</v>
          </cell>
          <cell r="F200" t="str">
            <v>HPID16</v>
          </cell>
          <cell r="G200">
            <v>40.76</v>
          </cell>
        </row>
        <row r="201">
          <cell r="C201" t="str">
            <v>HPID884119</v>
          </cell>
          <cell r="D201">
            <v>5056003709049</v>
          </cell>
          <cell r="E201" t="str">
            <v>COIL, EXPANSION VALVE</v>
          </cell>
          <cell r="F201" t="str">
            <v>HPID10 HPID16</v>
          </cell>
          <cell r="G201">
            <v>28.04</v>
          </cell>
        </row>
        <row r="202">
          <cell r="C202" t="str">
            <v>HPID885511</v>
          </cell>
          <cell r="D202">
            <v>5056003709032</v>
          </cell>
          <cell r="E202" t="str">
            <v>EXPANSION VALVE</v>
          </cell>
          <cell r="F202" t="str">
            <v>HPID10</v>
          </cell>
          <cell r="G202">
            <v>40.76</v>
          </cell>
        </row>
        <row r="203">
          <cell r="C203" t="str">
            <v>HPID922928</v>
          </cell>
          <cell r="D203">
            <v>5056003708615</v>
          </cell>
          <cell r="E203" t="str">
            <v>EXPANSION VALVE</v>
          </cell>
          <cell r="F203" t="str">
            <v>HPID6</v>
          </cell>
          <cell r="G203">
            <v>20.38</v>
          </cell>
        </row>
        <row r="204">
          <cell r="C204" t="str">
            <v>HPID927359</v>
          </cell>
          <cell r="D204">
            <v>5056003708783</v>
          </cell>
          <cell r="E204" t="str">
            <v>4-WAY VALVE</v>
          </cell>
          <cell r="F204" t="str">
            <v>HPID6</v>
          </cell>
          <cell r="G204">
            <v>21.69</v>
          </cell>
        </row>
        <row r="205">
          <cell r="C205" t="str">
            <v>HPID937196</v>
          </cell>
          <cell r="D205">
            <v>5056003708608</v>
          </cell>
          <cell r="E205" t="str">
            <v xml:space="preserve">COIL, EXPANSION VALVE </v>
          </cell>
          <cell r="F205" t="str">
            <v>HPID6</v>
          </cell>
          <cell r="G205">
            <v>14.03</v>
          </cell>
        </row>
        <row r="206">
          <cell r="C206" t="str">
            <v>HPID938113</v>
          </cell>
          <cell r="D206">
            <v>5056003709056</v>
          </cell>
          <cell r="E206" t="str">
            <v xml:space="preserve">4-WAY VALVE </v>
          </cell>
          <cell r="F206" t="str">
            <v>HPID10</v>
          </cell>
          <cell r="G206">
            <v>38.24</v>
          </cell>
        </row>
        <row r="207">
          <cell r="C207" t="str">
            <v>WPB6/26</v>
          </cell>
          <cell r="D207">
            <v>5056003719444</v>
          </cell>
          <cell r="E207" t="str">
            <v>Burner</v>
          </cell>
          <cell r="F207" t="str">
            <v>Spira 6-26kW</v>
          </cell>
          <cell r="G207" t="str">
            <v>POA</v>
          </cell>
        </row>
        <row r="208">
          <cell r="C208" t="str">
            <v>WPB9/36</v>
          </cell>
          <cell r="D208">
            <v>5056003719437</v>
          </cell>
          <cell r="E208" t="str">
            <v>Burner</v>
          </cell>
          <cell r="F208" t="str">
            <v>Spira 9-36KW</v>
          </cell>
          <cell r="G208" t="str">
            <v>POA</v>
          </cell>
        </row>
        <row r="209">
          <cell r="C209" t="str">
            <v>WPS167</v>
          </cell>
          <cell r="D209">
            <v>5056003719192</v>
          </cell>
          <cell r="E209" t="str">
            <v>Single hopper right hand auger c/w motor</v>
          </cell>
          <cell r="F209" t="str">
            <v>Spira  5-36KW</v>
          </cell>
          <cell r="G209" t="str">
            <v>POA</v>
          </cell>
        </row>
        <row r="210">
          <cell r="C210" t="str">
            <v>WPS167X</v>
          </cell>
          <cell r="D210">
            <v>5056003777277</v>
          </cell>
          <cell r="E210" t="str">
            <v>Single hopper left hand auger c/w motor</v>
          </cell>
          <cell r="F210" t="str">
            <v>Spira  5-36KW</v>
          </cell>
          <cell r="G210" t="str">
            <v>POA</v>
          </cell>
        </row>
        <row r="211">
          <cell r="C211" t="str">
            <v>WPS169</v>
          </cell>
          <cell r="D211">
            <v>5056003719178</v>
          </cell>
          <cell r="E211" t="str">
            <v>Central hopper right hand auger c/w motor</v>
          </cell>
          <cell r="F211" t="str">
            <v>Spira 12-72KW</v>
          </cell>
          <cell r="G211" t="str">
            <v>POA</v>
          </cell>
        </row>
        <row r="212">
          <cell r="C212" t="str">
            <v>WPS169X</v>
          </cell>
          <cell r="D212">
            <v>5056003777284</v>
          </cell>
          <cell r="E212" t="str">
            <v>Central hopper left hand auger c/w motor</v>
          </cell>
          <cell r="F212" t="str">
            <v>Spira 12-72KW</v>
          </cell>
          <cell r="G212" t="str">
            <v>POA</v>
          </cell>
        </row>
        <row r="213">
          <cell r="C213" t="str">
            <v>WPS03</v>
          </cell>
          <cell r="D213">
            <v>5056003705447</v>
          </cell>
          <cell r="E213" t="str">
            <v>Burner Fan</v>
          </cell>
          <cell r="F213" t="str">
            <v>Spira</v>
          </cell>
          <cell r="G213">
            <v>484.98</v>
          </cell>
        </row>
        <row r="214">
          <cell r="C214" t="str">
            <v>WPS04X</v>
          </cell>
          <cell r="D214">
            <v>5056003705812</v>
          </cell>
          <cell r="E214" t="str">
            <v>400 servomotor for brazier woodpellet burner in house only</v>
          </cell>
          <cell r="F214" t="str">
            <v>Spira</v>
          </cell>
          <cell r="G214">
            <v>556.32000000000005</v>
          </cell>
        </row>
        <row r="215">
          <cell r="C215" t="str">
            <v>WPS05</v>
          </cell>
          <cell r="D215">
            <v>5056003705409</v>
          </cell>
          <cell r="E215" t="str">
            <v>LED Display</v>
          </cell>
          <cell r="F215" t="str">
            <v>Spira</v>
          </cell>
          <cell r="G215">
            <v>245.17</v>
          </cell>
        </row>
        <row r="216">
          <cell r="C216" t="str">
            <v>WPS06</v>
          </cell>
          <cell r="D216">
            <v>5056003719383</v>
          </cell>
          <cell r="E216" t="str">
            <v>LED Display support</v>
          </cell>
          <cell r="F216" t="str">
            <v>Spira</v>
          </cell>
          <cell r="G216">
            <v>29.61</v>
          </cell>
        </row>
        <row r="217">
          <cell r="C217" t="str">
            <v>WPS07</v>
          </cell>
          <cell r="D217">
            <v>5056003705379</v>
          </cell>
          <cell r="E217" t="str">
            <v xml:space="preserve">Electrical Connector 7-way Female </v>
          </cell>
          <cell r="F217" t="str">
            <v>Spira</v>
          </cell>
          <cell r="G217">
            <v>10.68</v>
          </cell>
        </row>
        <row r="218">
          <cell r="C218" t="str">
            <v>WPS08</v>
          </cell>
          <cell r="D218">
            <v>5056003705386</v>
          </cell>
          <cell r="E218" t="str">
            <v xml:space="preserve">Electrical Connector 7-way Male </v>
          </cell>
          <cell r="F218" t="str">
            <v>Spira</v>
          </cell>
          <cell r="G218">
            <v>9.99</v>
          </cell>
        </row>
        <row r="219">
          <cell r="C219" t="str">
            <v>WPS10A</v>
          </cell>
          <cell r="D219">
            <v>5056003705430</v>
          </cell>
          <cell r="E219" t="str">
            <v>ceramic ignition element (no housing)</v>
          </cell>
          <cell r="F219" t="str">
            <v>Spira</v>
          </cell>
          <cell r="G219">
            <v>454.03</v>
          </cell>
        </row>
        <row r="220">
          <cell r="C220" t="str">
            <v>WPS10B</v>
          </cell>
          <cell r="D220">
            <v>5056003706109</v>
          </cell>
          <cell r="E220" t="str">
            <v xml:space="preserve">ceramic ignition element housing </v>
          </cell>
          <cell r="F220" t="str">
            <v>Spira</v>
          </cell>
          <cell r="G220">
            <v>90.81</v>
          </cell>
        </row>
        <row r="221">
          <cell r="C221" t="str">
            <v>WPS10C</v>
          </cell>
          <cell r="D221">
            <v>5056003778168</v>
          </cell>
          <cell r="E221" t="str">
            <v xml:space="preserve">Ceramic ignition element (no wire) </v>
          </cell>
          <cell r="F221" t="str">
            <v>Spira</v>
          </cell>
          <cell r="G221">
            <v>336.04</v>
          </cell>
        </row>
        <row r="222">
          <cell r="C222" t="str">
            <v>WPS11</v>
          </cell>
          <cell r="D222">
            <v>5056003704983</v>
          </cell>
          <cell r="E222" t="str">
            <v xml:space="preserve">Pellet Feed Thermostat </v>
          </cell>
          <cell r="F222" t="str">
            <v>Spira</v>
          </cell>
          <cell r="G222" t="str">
            <v>POA</v>
          </cell>
        </row>
        <row r="223">
          <cell r="C223" t="str">
            <v>WPS112</v>
          </cell>
          <cell r="D223">
            <v>5056003705225</v>
          </cell>
          <cell r="E223" t="str">
            <v>circuit board</v>
          </cell>
          <cell r="F223" t="str">
            <v>Spira 6-26KW</v>
          </cell>
          <cell r="G223">
            <v>311.33</v>
          </cell>
        </row>
        <row r="224">
          <cell r="C224" t="str">
            <v>WPS112B</v>
          </cell>
          <cell r="D224">
            <v>5056003705232</v>
          </cell>
          <cell r="E224" t="str">
            <v>Circuit Board</v>
          </cell>
          <cell r="F224" t="str">
            <v>Spira 9-36KW</v>
          </cell>
          <cell r="G224">
            <v>311.33</v>
          </cell>
        </row>
        <row r="225">
          <cell r="C225" t="str">
            <v>WPS112C</v>
          </cell>
          <cell r="D225">
            <v>5056003716399</v>
          </cell>
          <cell r="E225" t="str">
            <v>Circuit Board</v>
          </cell>
          <cell r="F225" t="str">
            <v>Spira 5-18KW</v>
          </cell>
          <cell r="G225">
            <v>296.5</v>
          </cell>
        </row>
        <row r="226">
          <cell r="C226" t="str">
            <v>WPS12</v>
          </cell>
          <cell r="D226">
            <v>5056003704990</v>
          </cell>
          <cell r="E226" t="str">
            <v>Thermostat Cover for Pellet Feed Tube</v>
          </cell>
          <cell r="F226" t="str">
            <v xml:space="preserve">Spira  </v>
          </cell>
          <cell r="G226">
            <v>23.35</v>
          </cell>
        </row>
        <row r="227">
          <cell r="C227" t="str">
            <v>WPS13</v>
          </cell>
          <cell r="D227">
            <v>5056003706062</v>
          </cell>
          <cell r="E227" t="str">
            <v>Pellet Feed Tube</v>
          </cell>
          <cell r="F227" t="str">
            <v xml:space="preserve">Spira  </v>
          </cell>
          <cell r="G227">
            <v>79.12</v>
          </cell>
        </row>
        <row r="228">
          <cell r="C228" t="str">
            <v>WPS130X</v>
          </cell>
          <cell r="D228">
            <v>5056003772500</v>
          </cell>
          <cell r="E228" t="str">
            <v>brazier flame plate woodpellet burner (single)</v>
          </cell>
          <cell r="F228" t="str">
            <v xml:space="preserve">Spira  </v>
          </cell>
          <cell r="G228">
            <v>52.93</v>
          </cell>
        </row>
        <row r="229">
          <cell r="C229" t="str">
            <v>WPS14</v>
          </cell>
          <cell r="D229">
            <v>5056003705003</v>
          </cell>
          <cell r="E229" t="str">
            <v>Gasket for Pellet Tube</v>
          </cell>
          <cell r="F229" t="str">
            <v xml:space="preserve">Spira  </v>
          </cell>
          <cell r="G229">
            <v>4.47</v>
          </cell>
        </row>
        <row r="230">
          <cell r="C230" t="str">
            <v>WPS15</v>
          </cell>
          <cell r="D230">
            <v>5056003705010</v>
          </cell>
          <cell r="E230" t="str">
            <v>Mounting Gasket</v>
          </cell>
          <cell r="F230" t="str">
            <v xml:space="preserve">Spira  </v>
          </cell>
          <cell r="G230">
            <v>21.57</v>
          </cell>
        </row>
        <row r="231">
          <cell r="C231" t="str">
            <v>WPS17</v>
          </cell>
          <cell r="D231">
            <v>5056003705188</v>
          </cell>
          <cell r="E231" t="str">
            <v xml:space="preserve">Tube for Photocell </v>
          </cell>
          <cell r="F231" t="str">
            <v xml:space="preserve">Spira  </v>
          </cell>
          <cell r="G231">
            <v>77.53</v>
          </cell>
        </row>
        <row r="232">
          <cell r="C232" t="str">
            <v>WPS176</v>
          </cell>
          <cell r="D232">
            <v>5056003706581</v>
          </cell>
          <cell r="E232" t="str">
            <v>Draught test point ball</v>
          </cell>
          <cell r="F232" t="str">
            <v>Spira</v>
          </cell>
          <cell r="G232" t="str">
            <v>POA</v>
          </cell>
        </row>
        <row r="233">
          <cell r="C233" t="str">
            <v>WPS18</v>
          </cell>
          <cell r="D233">
            <v>5056003719147</v>
          </cell>
          <cell r="E233" t="str">
            <v xml:space="preserve">Electrical Connector 6-way Male </v>
          </cell>
          <cell r="F233" t="str">
            <v xml:space="preserve">Spira  </v>
          </cell>
          <cell r="G233" t="str">
            <v>POA</v>
          </cell>
        </row>
        <row r="234">
          <cell r="C234" t="str">
            <v>WPS18F</v>
          </cell>
          <cell r="D234">
            <v>5056003705713</v>
          </cell>
          <cell r="E234" t="str">
            <v>electrical connector 6 way female</v>
          </cell>
          <cell r="F234" t="str">
            <v xml:space="preserve">Spira  </v>
          </cell>
          <cell r="G234">
            <v>10.130000000000001</v>
          </cell>
        </row>
        <row r="235">
          <cell r="C235" t="str">
            <v>WPS19</v>
          </cell>
          <cell r="D235">
            <v>5056003707908</v>
          </cell>
          <cell r="E235" t="str">
            <v>Brazier Chassis</v>
          </cell>
          <cell r="F235" t="str">
            <v xml:space="preserve">Spira  </v>
          </cell>
          <cell r="G235">
            <v>169.44</v>
          </cell>
        </row>
        <row r="236">
          <cell r="C236" t="str">
            <v>WPS199</v>
          </cell>
          <cell r="D236">
            <v>5056003705935</v>
          </cell>
          <cell r="E236" t="str">
            <v>brazier measuring tool</v>
          </cell>
          <cell r="F236" t="str">
            <v xml:space="preserve">Spira  </v>
          </cell>
          <cell r="G236">
            <v>6.18</v>
          </cell>
        </row>
        <row r="237">
          <cell r="C237" t="str">
            <v>WPS22</v>
          </cell>
          <cell r="D237">
            <v>5056003705850</v>
          </cell>
          <cell r="E237" t="str">
            <v>Ignition Element Mounting Plate</v>
          </cell>
          <cell r="F237" t="str">
            <v xml:space="preserve">Spira  </v>
          </cell>
          <cell r="G237">
            <v>50.63</v>
          </cell>
        </row>
        <row r="238">
          <cell r="C238" t="str">
            <v>WPS23</v>
          </cell>
          <cell r="D238">
            <v>5056003706598</v>
          </cell>
          <cell r="E238" t="str">
            <v xml:space="preserve">Back Plate for Photocell </v>
          </cell>
          <cell r="F238" t="str">
            <v xml:space="preserve">Spira  </v>
          </cell>
          <cell r="G238">
            <v>71.349999999999994</v>
          </cell>
        </row>
        <row r="239">
          <cell r="C239" t="str">
            <v>WPS24</v>
          </cell>
          <cell r="D239">
            <v>5056003705027</v>
          </cell>
          <cell r="E239" t="str">
            <v>Gasket for Burner Fan</v>
          </cell>
          <cell r="F239" t="str">
            <v xml:space="preserve">Spira  </v>
          </cell>
          <cell r="G239" t="str">
            <v>POA</v>
          </cell>
        </row>
        <row r="240">
          <cell r="C240" t="str">
            <v>WPS27</v>
          </cell>
          <cell r="D240">
            <v>5056003708141</v>
          </cell>
          <cell r="E240" t="str">
            <v>controls chassisback plate &amp; base</v>
          </cell>
          <cell r="F240" t="str">
            <v xml:space="preserve">Spira  </v>
          </cell>
          <cell r="G240">
            <v>163.56</v>
          </cell>
        </row>
        <row r="241">
          <cell r="C241" t="str">
            <v>WPS28</v>
          </cell>
          <cell r="D241">
            <v>5056003719123</v>
          </cell>
          <cell r="E241" t="str">
            <v>main burner cover</v>
          </cell>
          <cell r="F241" t="str">
            <v xml:space="preserve">Spira  </v>
          </cell>
          <cell r="G241">
            <v>102.23</v>
          </cell>
        </row>
        <row r="242">
          <cell r="C242" t="str">
            <v>WPS29X</v>
          </cell>
          <cell r="D242">
            <v>5056003702910</v>
          </cell>
          <cell r="E242" t="str">
            <v>Flame Hood 5-26</v>
          </cell>
          <cell r="F242" t="str">
            <v>Spira 5-26KW</v>
          </cell>
          <cell r="G242">
            <v>302.68</v>
          </cell>
        </row>
        <row r="243">
          <cell r="C243" t="str">
            <v>WPS29Y</v>
          </cell>
          <cell r="D243">
            <v>5056003702927</v>
          </cell>
          <cell r="E243" t="str">
            <v>Flame Hood 9-36</v>
          </cell>
          <cell r="F243" t="str">
            <v>Spira 9-36KW</v>
          </cell>
          <cell r="G243">
            <v>302.68</v>
          </cell>
        </row>
        <row r="244">
          <cell r="C244" t="str">
            <v>WPS29XKIT</v>
          </cell>
          <cell r="D244">
            <v>5056003782646</v>
          </cell>
          <cell r="E244" t="str">
            <v>Flame Hood 5-26 Kit (c/w 8x coach bolts &amp; brazier flame plate)</v>
          </cell>
          <cell r="F244" t="str">
            <v>Spira 5-26KW</v>
          </cell>
          <cell r="G244">
            <v>272.69</v>
          </cell>
        </row>
        <row r="245">
          <cell r="C245" t="str">
            <v>WPS29YKIT</v>
          </cell>
          <cell r="D245">
            <v>5056003782653</v>
          </cell>
          <cell r="E245" t="str">
            <v>Flame Hood 9-36 Kit (c/w 8x coach bolts &amp; brazier flame plate)</v>
          </cell>
          <cell r="F245" t="str">
            <v>Spira 9-36KW</v>
          </cell>
          <cell r="G245">
            <v>272.69</v>
          </cell>
        </row>
        <row r="246">
          <cell r="C246" t="str">
            <v>WPS31</v>
          </cell>
          <cell r="D246">
            <v>5056003705423</v>
          </cell>
          <cell r="E246" t="str">
            <v>Coach Bolt M5 X 15 (pack of 8)</v>
          </cell>
          <cell r="F246" t="str">
            <v>Spira</v>
          </cell>
          <cell r="G246">
            <v>6.13</v>
          </cell>
        </row>
        <row r="247">
          <cell r="C247" t="str">
            <v>WPS32A</v>
          </cell>
          <cell r="D247">
            <v>5056003707892</v>
          </cell>
          <cell r="E247" t="str">
            <v xml:space="preserve">Grate Enclosure </v>
          </cell>
          <cell r="F247" t="str">
            <v>Spira 5-26KW</v>
          </cell>
          <cell r="G247">
            <v>99.62</v>
          </cell>
        </row>
        <row r="248">
          <cell r="C248" t="str">
            <v>WPS32B</v>
          </cell>
          <cell r="D248">
            <v>5056003703016</v>
          </cell>
          <cell r="E248" t="str">
            <v>Grate Enclosure</v>
          </cell>
          <cell r="F248" t="str">
            <v>Spira 9-36KW</v>
          </cell>
          <cell r="G248">
            <v>109.74</v>
          </cell>
        </row>
        <row r="249">
          <cell r="C249" t="str">
            <v>WPS33A</v>
          </cell>
          <cell r="D249">
            <v>5056003707915</v>
          </cell>
          <cell r="E249" t="str">
            <v>Brazier Base Assembly</v>
          </cell>
          <cell r="F249" t="str">
            <v>Spira 5-26KW</v>
          </cell>
          <cell r="G249">
            <v>142.05000000000001</v>
          </cell>
        </row>
        <row r="250">
          <cell r="C250" t="str">
            <v>WPS33B</v>
          </cell>
          <cell r="D250">
            <v>5056003707922</v>
          </cell>
          <cell r="E250" t="str">
            <v>Brazier Base Assembly</v>
          </cell>
          <cell r="F250" t="str">
            <v>Spira 9-36KW</v>
          </cell>
          <cell r="G250">
            <v>121.94</v>
          </cell>
        </row>
        <row r="251">
          <cell r="C251" t="str">
            <v>WPS147</v>
          </cell>
          <cell r="D251">
            <v>5056003719338</v>
          </cell>
          <cell r="E251" t="str">
            <v>Castor Wheel Flange</v>
          </cell>
          <cell r="F251" t="str">
            <v xml:space="preserve">Spira  </v>
          </cell>
          <cell r="G251" t="str">
            <v>POA</v>
          </cell>
        </row>
        <row r="252">
          <cell r="C252" t="str">
            <v>WPS149</v>
          </cell>
          <cell r="D252">
            <v>5056003719314</v>
          </cell>
          <cell r="E252" t="str">
            <v>Pellet Feed Auger Shield</v>
          </cell>
          <cell r="F252" t="str">
            <v xml:space="preserve">Spira  </v>
          </cell>
          <cell r="G252" t="str">
            <v>POA</v>
          </cell>
        </row>
        <row r="253">
          <cell r="C253" t="str">
            <v>WPS152</v>
          </cell>
          <cell r="D253">
            <v>5056003719284</v>
          </cell>
          <cell r="E253" t="str">
            <v>Grid</v>
          </cell>
          <cell r="F253" t="str">
            <v xml:space="preserve">Spira  </v>
          </cell>
          <cell r="G253" t="str">
            <v>POA</v>
          </cell>
        </row>
        <row r="254">
          <cell r="C254" t="str">
            <v>WPS154</v>
          </cell>
          <cell r="D254">
            <v>5056003719277</v>
          </cell>
          <cell r="E254" t="str">
            <v>Hopper Door Hinge</v>
          </cell>
          <cell r="F254" t="str">
            <v xml:space="preserve">Spira  </v>
          </cell>
          <cell r="G254" t="str">
            <v>POA</v>
          </cell>
        </row>
        <row r="255">
          <cell r="C255" t="str">
            <v>WPS160</v>
          </cell>
          <cell r="D255">
            <v>5056003719239</v>
          </cell>
          <cell r="E255" t="str">
            <v>wiring centre</v>
          </cell>
          <cell r="F255" t="str">
            <v xml:space="preserve">Spira  </v>
          </cell>
          <cell r="G255" t="str">
            <v>POA</v>
          </cell>
        </row>
        <row r="256">
          <cell r="C256" t="str">
            <v>WPS161</v>
          </cell>
          <cell r="D256">
            <v>5056003719222</v>
          </cell>
          <cell r="E256" t="str">
            <v>pellet damper</v>
          </cell>
          <cell r="F256" t="str">
            <v xml:space="preserve">Spira  </v>
          </cell>
          <cell r="G256" t="str">
            <v>POA</v>
          </cell>
        </row>
        <row r="257">
          <cell r="C257" t="str">
            <v>WPS163</v>
          </cell>
          <cell r="D257">
            <v>5056003717044</v>
          </cell>
          <cell r="E257" t="str">
            <v>wiring centre access cover</v>
          </cell>
          <cell r="F257" t="str">
            <v xml:space="preserve">Spira  </v>
          </cell>
          <cell r="G257" t="str">
            <v>POA</v>
          </cell>
        </row>
        <row r="258">
          <cell r="C258" t="str">
            <v>WPS164</v>
          </cell>
          <cell r="D258">
            <v>5056003705744</v>
          </cell>
          <cell r="E258" t="str">
            <v>Low Limit Switch</v>
          </cell>
          <cell r="F258" t="str">
            <v xml:space="preserve">Spira  </v>
          </cell>
          <cell r="G258">
            <v>10.81</v>
          </cell>
        </row>
        <row r="259">
          <cell r="C259" t="str">
            <v>WPS165</v>
          </cell>
          <cell r="D259">
            <v>5056003719208</v>
          </cell>
          <cell r="E259" t="str">
            <v>Limit Switch Bracket</v>
          </cell>
          <cell r="F259" t="str">
            <v xml:space="preserve">Spira  </v>
          </cell>
          <cell r="G259" t="str">
            <v>POA</v>
          </cell>
        </row>
        <row r="260">
          <cell r="C260" t="str">
            <v>WPS175</v>
          </cell>
          <cell r="D260">
            <v>5056003706116</v>
          </cell>
          <cell r="E260" t="str">
            <v>hopper selector switch</v>
          </cell>
          <cell r="F260" t="str">
            <v xml:space="preserve">Spira  </v>
          </cell>
          <cell r="G260">
            <v>15.44</v>
          </cell>
        </row>
        <row r="261">
          <cell r="C261" t="str">
            <v>MPSS02</v>
          </cell>
          <cell r="D261">
            <v>5056003701562</v>
          </cell>
          <cell r="E261" t="str">
            <v>Water pressure Gauge</v>
          </cell>
          <cell r="F261" t="str">
            <v>Spira</v>
          </cell>
          <cell r="G261">
            <v>25.87</v>
          </cell>
        </row>
        <row r="262">
          <cell r="C262" t="str">
            <v>WPS100</v>
          </cell>
          <cell r="D262">
            <v>5056003705249</v>
          </cell>
          <cell r="E262" t="str">
            <v>Ash Pan</v>
          </cell>
          <cell r="F262" t="str">
            <v>Spira 5-26KW</v>
          </cell>
          <cell r="G262">
            <v>108.11</v>
          </cell>
        </row>
        <row r="263">
          <cell r="C263" t="str">
            <v>WPS101</v>
          </cell>
          <cell r="D263">
            <v>5056003705256</v>
          </cell>
          <cell r="E263" t="str">
            <v>Ash Pan</v>
          </cell>
          <cell r="F263" t="str">
            <v>Spira 9-36KW</v>
          </cell>
          <cell r="G263">
            <v>121.07</v>
          </cell>
        </row>
        <row r="264">
          <cell r="C264" t="str">
            <v>WPS102</v>
          </cell>
          <cell r="D264">
            <v>5056003706000</v>
          </cell>
          <cell r="E264" t="str">
            <v>Cleaning Door Rope</v>
          </cell>
          <cell r="F264" t="str">
            <v>Spira</v>
          </cell>
          <cell r="G264">
            <v>29.03</v>
          </cell>
        </row>
        <row r="265">
          <cell r="C265" t="str">
            <v>WPS103</v>
          </cell>
          <cell r="D265">
            <v>5056003707403</v>
          </cell>
          <cell r="E265" t="str">
            <v>burner cleaning door complete wp boiler</v>
          </cell>
          <cell r="F265" t="str">
            <v>Spira</v>
          </cell>
          <cell r="G265">
            <v>432.41</v>
          </cell>
        </row>
        <row r="266">
          <cell r="C266" t="str">
            <v>WPS105</v>
          </cell>
          <cell r="D266">
            <v>5056003705218</v>
          </cell>
          <cell r="E266" t="str">
            <v>Front Panel</v>
          </cell>
          <cell r="F266" t="str">
            <v>Spira</v>
          </cell>
          <cell r="G266" t="str">
            <v>POA</v>
          </cell>
        </row>
        <row r="267">
          <cell r="C267" t="str">
            <v>WPS106</v>
          </cell>
          <cell r="D267">
            <v>5056003706796</v>
          </cell>
          <cell r="E267" t="str">
            <v>Cleaning Door Handle</v>
          </cell>
          <cell r="F267" t="str">
            <v>Spira</v>
          </cell>
          <cell r="G267">
            <v>51.89</v>
          </cell>
        </row>
        <row r="268">
          <cell r="C268" t="str">
            <v>WPS107</v>
          </cell>
          <cell r="D268">
            <v>5056003705324</v>
          </cell>
          <cell r="E268" t="str">
            <v>High Limit Stat</v>
          </cell>
          <cell r="F268" t="str">
            <v>Spira</v>
          </cell>
          <cell r="G268">
            <v>50.66</v>
          </cell>
        </row>
        <row r="269">
          <cell r="C269" t="str">
            <v>WPS108</v>
          </cell>
          <cell r="D269">
            <v>5056003705362</v>
          </cell>
          <cell r="E269" t="str">
            <v>Boiler Momentry Switch (double pole on/off)</v>
          </cell>
          <cell r="F269" t="str">
            <v>Spira</v>
          </cell>
          <cell r="G269">
            <v>21.62</v>
          </cell>
        </row>
        <row r="270">
          <cell r="C270" t="str">
            <v>WPS109</v>
          </cell>
          <cell r="D270">
            <v>5056003719369</v>
          </cell>
          <cell r="E270" t="str">
            <v>Control Panel Chassis</v>
          </cell>
          <cell r="F270" t="str">
            <v>Spira</v>
          </cell>
          <cell r="G270" t="str">
            <v>POA</v>
          </cell>
        </row>
        <row r="271">
          <cell r="C271" t="str">
            <v>WPS110</v>
          </cell>
          <cell r="D271">
            <v>5056003719352</v>
          </cell>
          <cell r="E271" t="str">
            <v xml:space="preserve">Control Panel cover  </v>
          </cell>
          <cell r="F271" t="str">
            <v>Spira</v>
          </cell>
          <cell r="G271" t="str">
            <v>POA</v>
          </cell>
        </row>
        <row r="272">
          <cell r="C272" t="str">
            <v>WPS111</v>
          </cell>
          <cell r="D272">
            <v>5056003705041</v>
          </cell>
          <cell r="E272" t="str">
            <v>Pressure Switch</v>
          </cell>
          <cell r="F272" t="str">
            <v>Spira</v>
          </cell>
          <cell r="G272">
            <v>22.71</v>
          </cell>
        </row>
        <row r="273">
          <cell r="C273" t="str">
            <v>WPS145</v>
          </cell>
          <cell r="D273">
            <v>5056003705621</v>
          </cell>
          <cell r="E273" t="str">
            <v>Secondary Cleaning Door &amp; Gasket Pre Nov 14</v>
          </cell>
          <cell r="F273" t="str">
            <v>Spira 9-36KW</v>
          </cell>
          <cell r="G273">
            <v>55.6</v>
          </cell>
        </row>
        <row r="274">
          <cell r="C274" t="str">
            <v>WPS145A</v>
          </cell>
          <cell r="D274">
            <v>5056003708219</v>
          </cell>
          <cell r="E274" t="str">
            <v>Secondary Cleaning Door &amp; Gasket Post Nov 14</v>
          </cell>
          <cell r="F274" t="str">
            <v>Spira 9-36KW</v>
          </cell>
          <cell r="G274">
            <v>55.6</v>
          </cell>
        </row>
        <row r="275">
          <cell r="C275" t="str">
            <v>WPS146</v>
          </cell>
          <cell r="D275">
            <v>5056003719345</v>
          </cell>
          <cell r="E275" t="str">
            <v>Caster Wheel with Brake</v>
          </cell>
          <cell r="F275" t="str">
            <v xml:space="preserve">Spira  </v>
          </cell>
          <cell r="G275" t="str">
            <v>POA</v>
          </cell>
        </row>
        <row r="276">
          <cell r="C276" t="str">
            <v>WPS157</v>
          </cell>
          <cell r="D276">
            <v>5056003719246</v>
          </cell>
          <cell r="E276" t="str">
            <v>Caster Wheel no Brake</v>
          </cell>
          <cell r="F276" t="str">
            <v xml:space="preserve">Spira  </v>
          </cell>
          <cell r="G276">
            <v>18.53</v>
          </cell>
        </row>
        <row r="277">
          <cell r="C277" t="str">
            <v>WPS159</v>
          </cell>
          <cell r="D277">
            <v>5056003706857</v>
          </cell>
          <cell r="E277" t="str">
            <v>rubber diaphragm</v>
          </cell>
          <cell r="F277" t="str">
            <v xml:space="preserve">Spira  </v>
          </cell>
          <cell r="G277">
            <v>62.07</v>
          </cell>
        </row>
        <row r="278">
          <cell r="C278" t="str">
            <v>WPS166X</v>
          </cell>
          <cell r="D278">
            <v>5056003705690</v>
          </cell>
          <cell r="E278" t="str">
            <v>Motor for Auger</v>
          </cell>
          <cell r="F278" t="str">
            <v xml:space="preserve">Spira  </v>
          </cell>
          <cell r="G278">
            <v>228.56</v>
          </cell>
        </row>
        <row r="279">
          <cell r="C279" t="str">
            <v>WPS168</v>
          </cell>
          <cell r="D279">
            <v>5056003706130</v>
          </cell>
          <cell r="E279" t="str">
            <v>external auger motor</v>
          </cell>
          <cell r="F279" t="str">
            <v xml:space="preserve">Spira  </v>
          </cell>
          <cell r="G279" t="str">
            <v>POA</v>
          </cell>
        </row>
        <row r="280">
          <cell r="C280" t="str">
            <v>WPS172</v>
          </cell>
          <cell r="D280">
            <v>5056003707335</v>
          </cell>
          <cell r="E280" t="str">
            <v>cam for shaker chamber</v>
          </cell>
          <cell r="F280" t="str">
            <v xml:space="preserve">Spira  </v>
          </cell>
          <cell r="G280">
            <v>151.35</v>
          </cell>
        </row>
        <row r="281">
          <cell r="C281" t="str">
            <v>WPS173</v>
          </cell>
          <cell r="D281">
            <v>5056003705843</v>
          </cell>
          <cell r="E281" t="str">
            <v>wood pellet flue box air dampner</v>
          </cell>
          <cell r="F281" t="str">
            <v>Spira</v>
          </cell>
          <cell r="G281" t="str">
            <v>POA</v>
          </cell>
        </row>
        <row r="282">
          <cell r="C282" t="str">
            <v>WPS174A</v>
          </cell>
          <cell r="D282">
            <v>5056003707953</v>
          </cell>
          <cell r="E282" t="str">
            <v>Pellet feed elbow quick release</v>
          </cell>
          <cell r="F282" t="str">
            <v xml:space="preserve">Spira  </v>
          </cell>
          <cell r="G282" t="str">
            <v>POA</v>
          </cell>
        </row>
        <row r="283">
          <cell r="C283" t="str">
            <v>WPS178</v>
          </cell>
          <cell r="D283">
            <v>5056003719154</v>
          </cell>
          <cell r="E283" t="str">
            <v>air restrictor plate</v>
          </cell>
          <cell r="F283" t="str">
            <v>Spira 5-18KW</v>
          </cell>
          <cell r="G283" t="str">
            <v>POA</v>
          </cell>
        </row>
        <row r="284">
          <cell r="C284" t="str">
            <v>WPS200</v>
          </cell>
          <cell r="D284">
            <v>5056003734263</v>
          </cell>
          <cell r="E284" t="str">
            <v xml:space="preserve">Cam pin &amp; nut </v>
          </cell>
          <cell r="F284" t="str">
            <v>Spira 6-36kW</v>
          </cell>
          <cell r="G284" t="str">
            <v>POA</v>
          </cell>
        </row>
        <row r="285">
          <cell r="C285" t="str">
            <v>WPS25</v>
          </cell>
          <cell r="D285">
            <v>5056003705034</v>
          </cell>
          <cell r="E285" t="str">
            <v>Boiler Water Thermostat</v>
          </cell>
          <cell r="F285" t="str">
            <v xml:space="preserve">Spira  </v>
          </cell>
          <cell r="G285">
            <v>50.66</v>
          </cell>
        </row>
        <row r="286">
          <cell r="C286" t="str">
            <v>WPS30</v>
          </cell>
          <cell r="D286">
            <v>5056003709551</v>
          </cell>
          <cell r="E286" t="str">
            <v xml:space="preserve">HEAT SHIELD X2  FOR FLAME HOOD </v>
          </cell>
          <cell r="F286" t="str">
            <v>Spira</v>
          </cell>
          <cell r="G286">
            <v>98.83</v>
          </cell>
        </row>
        <row r="287">
          <cell r="C287" t="str">
            <v>WPS34</v>
          </cell>
          <cell r="D287">
            <v>5056003719116</v>
          </cell>
          <cell r="E287" t="str">
            <v>rear lower panel</v>
          </cell>
          <cell r="F287" t="str">
            <v>Spira 5-26KW</v>
          </cell>
          <cell r="G287">
            <v>12.36</v>
          </cell>
        </row>
        <row r="288">
          <cell r="C288" t="str">
            <v>WPS35</v>
          </cell>
          <cell r="D288">
            <v>5056003705751</v>
          </cell>
          <cell r="E288" t="str">
            <v>5-way Main Connection Male</v>
          </cell>
          <cell r="F288" t="str">
            <v>Spira</v>
          </cell>
          <cell r="G288">
            <v>14.09</v>
          </cell>
        </row>
        <row r="289">
          <cell r="C289" t="str">
            <v>WPS36</v>
          </cell>
          <cell r="D289">
            <v>5056003719109</v>
          </cell>
          <cell r="E289" t="str">
            <v>rear upper panel woodpellet boiler</v>
          </cell>
          <cell r="F289" t="str">
            <v>Spira</v>
          </cell>
          <cell r="G289" t="str">
            <v>POA</v>
          </cell>
        </row>
        <row r="290">
          <cell r="C290" t="str">
            <v>WPS37</v>
          </cell>
          <cell r="D290">
            <v>5056003705768</v>
          </cell>
          <cell r="E290" t="str">
            <v>5-way Main Connection Female</v>
          </cell>
          <cell r="F290" t="str">
            <v>Spira</v>
          </cell>
          <cell r="G290">
            <v>15.2</v>
          </cell>
        </row>
        <row r="291">
          <cell r="C291" t="str">
            <v>WPS38</v>
          </cell>
          <cell r="D291">
            <v>5056003719093</v>
          </cell>
          <cell r="E291" t="str">
            <v>flue fan cleaning solenoid male</v>
          </cell>
          <cell r="F291" t="str">
            <v>Spira</v>
          </cell>
          <cell r="G291" t="str">
            <v>POA</v>
          </cell>
        </row>
        <row r="292">
          <cell r="C292" t="str">
            <v>WPS39</v>
          </cell>
          <cell r="D292">
            <v>5056003719079</v>
          </cell>
          <cell r="E292" t="str">
            <v>flue fan cleaning solenoid female</v>
          </cell>
          <cell r="F292" t="str">
            <v>Spira</v>
          </cell>
          <cell r="G292" t="str">
            <v>POA</v>
          </cell>
        </row>
        <row r="293">
          <cell r="C293" t="str">
            <v>WPS40</v>
          </cell>
          <cell r="D293">
            <v>5056003705737</v>
          </cell>
          <cell r="E293" t="str">
            <v>Flue Fan Sealing Gasket</v>
          </cell>
          <cell r="F293" t="str">
            <v>Spira</v>
          </cell>
          <cell r="G293">
            <v>8.2799999999999994</v>
          </cell>
        </row>
        <row r="294">
          <cell r="C294" t="str">
            <v>WPS41</v>
          </cell>
          <cell r="D294">
            <v>5056003707212</v>
          </cell>
          <cell r="E294" t="str">
            <v>Fan Box</v>
          </cell>
          <cell r="F294" t="str">
            <v>Spira Pre Sept 2014</v>
          </cell>
          <cell r="G294">
            <v>1167.48</v>
          </cell>
        </row>
        <row r="295">
          <cell r="C295" t="str">
            <v>WPS44</v>
          </cell>
          <cell r="D295">
            <v>5056003705980</v>
          </cell>
          <cell r="E295" t="str">
            <v>Secondary  Cleaning Door &amp; Gasket</v>
          </cell>
          <cell r="F295" t="str">
            <v>Spira 5-26KW Pre Nov 2014</v>
          </cell>
          <cell r="G295">
            <v>62.07</v>
          </cell>
        </row>
        <row r="296">
          <cell r="C296" t="str">
            <v>WPS44A</v>
          </cell>
          <cell r="D296">
            <v>5056003709513</v>
          </cell>
          <cell r="E296" t="str">
            <v xml:space="preserve">Secondary  Cleaning Door &amp; Gasket </v>
          </cell>
          <cell r="F296" t="str">
            <v>Spira 5-26KW Post Nov 2014</v>
          </cell>
          <cell r="G296">
            <v>51.89</v>
          </cell>
        </row>
        <row r="297">
          <cell r="C297" t="str">
            <v>WPS46</v>
          </cell>
          <cell r="D297">
            <v>5056003705454</v>
          </cell>
          <cell r="E297" t="str">
            <v>Flue Fan</v>
          </cell>
          <cell r="F297" t="str">
            <v>Spira</v>
          </cell>
          <cell r="G297">
            <v>216.2</v>
          </cell>
        </row>
        <row r="298">
          <cell r="C298" t="str">
            <v>WPS48</v>
          </cell>
          <cell r="D298">
            <v>5056003719055</v>
          </cell>
          <cell r="E298" t="str">
            <v>air vent manifold</v>
          </cell>
          <cell r="F298" t="str">
            <v>Spira</v>
          </cell>
          <cell r="G298" t="str">
            <v>POA</v>
          </cell>
        </row>
        <row r="299">
          <cell r="C299" t="str">
            <v>WPS49</v>
          </cell>
          <cell r="D299">
            <v>5056003719048</v>
          </cell>
          <cell r="E299" t="str">
            <v xml:space="preserve">22mm secondary to primary pipe </v>
          </cell>
          <cell r="F299" t="str">
            <v>Spira 5-26KW</v>
          </cell>
          <cell r="G299" t="str">
            <v>POA</v>
          </cell>
        </row>
        <row r="300">
          <cell r="C300" t="str">
            <v>WPS50</v>
          </cell>
          <cell r="D300">
            <v>5056003719017</v>
          </cell>
          <cell r="E300" t="str">
            <v>22mm secondary to primary pipe</v>
          </cell>
          <cell r="F300" t="str">
            <v>Spira 9-36KW</v>
          </cell>
          <cell r="G300" t="str">
            <v>POA</v>
          </cell>
        </row>
        <row r="301">
          <cell r="C301" t="str">
            <v>WPS51</v>
          </cell>
          <cell r="D301">
            <v>5056003718997</v>
          </cell>
          <cell r="E301" t="str">
            <v>return assembly</v>
          </cell>
          <cell r="F301" t="str">
            <v>Spira 5-26KW</v>
          </cell>
          <cell r="G301" t="str">
            <v>POA</v>
          </cell>
        </row>
        <row r="302">
          <cell r="C302" t="str">
            <v>WPS52</v>
          </cell>
          <cell r="D302">
            <v>5056003718980</v>
          </cell>
          <cell r="E302" t="str">
            <v>return assembly</v>
          </cell>
          <cell r="F302" t="str">
            <v>Spira 9-36KW</v>
          </cell>
          <cell r="G302" t="str">
            <v>POA</v>
          </cell>
        </row>
        <row r="303">
          <cell r="C303" t="str">
            <v>WPS53</v>
          </cell>
          <cell r="D303">
            <v>5056003718966</v>
          </cell>
          <cell r="E303" t="str">
            <v>1" bsp flow pipe</v>
          </cell>
          <cell r="F303" t="str">
            <v>Spira 5-26KW</v>
          </cell>
          <cell r="G303" t="str">
            <v>POA</v>
          </cell>
        </row>
        <row r="304">
          <cell r="C304" t="str">
            <v>WPS54</v>
          </cell>
          <cell r="D304">
            <v>5056003718942</v>
          </cell>
          <cell r="E304" t="str">
            <v>1 1/4 " bsp flow pipe</v>
          </cell>
          <cell r="F304" t="str">
            <v>Spira 9-36KW</v>
          </cell>
          <cell r="G304" t="str">
            <v>POA</v>
          </cell>
        </row>
        <row r="305">
          <cell r="C305" t="str">
            <v>WPS55</v>
          </cell>
          <cell r="D305">
            <v>5056003705331</v>
          </cell>
          <cell r="E305" t="str">
            <v>Draft Stabiliser</v>
          </cell>
          <cell r="F305" t="str">
            <v>Spira</v>
          </cell>
          <cell r="G305">
            <v>181.61</v>
          </cell>
        </row>
        <row r="306">
          <cell r="C306" t="str">
            <v>WPS56</v>
          </cell>
          <cell r="D306">
            <v>5056003705720</v>
          </cell>
          <cell r="E306" t="str">
            <v>Fan Box Secondary Gasket</v>
          </cell>
          <cell r="F306" t="str">
            <v>Spira</v>
          </cell>
          <cell r="G306">
            <v>8.2200000000000006</v>
          </cell>
        </row>
        <row r="307">
          <cell r="C307" t="str">
            <v>WPS56A</v>
          </cell>
          <cell r="D307">
            <v>5056003702880</v>
          </cell>
          <cell r="E307" t="str">
            <v xml:space="preserve">fan box access door gasket </v>
          </cell>
          <cell r="F307" t="str">
            <v>Spira</v>
          </cell>
          <cell r="G307">
            <v>6.49</v>
          </cell>
        </row>
        <row r="308">
          <cell r="C308" t="str">
            <v>WPS57</v>
          </cell>
          <cell r="D308">
            <v>5056003705782</v>
          </cell>
          <cell r="E308" t="str">
            <v xml:space="preserve">Secondary Spiral Baffle S/S (1.5mm) </v>
          </cell>
          <cell r="F308" t="str">
            <v>Spira</v>
          </cell>
          <cell r="G308">
            <v>12.36</v>
          </cell>
        </row>
        <row r="309">
          <cell r="C309" t="str">
            <v>WPS61</v>
          </cell>
          <cell r="D309">
            <v>5056003718904</v>
          </cell>
          <cell r="E309" t="str">
            <v>Secondary Heat Exchanger</v>
          </cell>
          <cell r="F309" t="str">
            <v>Spira 9-36KW</v>
          </cell>
          <cell r="G309" t="str">
            <v>POA</v>
          </cell>
        </row>
        <row r="310">
          <cell r="C310" t="str">
            <v>WPS62</v>
          </cell>
          <cell r="D310">
            <v>5056003705867</v>
          </cell>
          <cell r="E310" t="str">
            <v>Shaker Arm Assembly</v>
          </cell>
          <cell r="F310" t="str">
            <v>Spira 5-26KW</v>
          </cell>
          <cell r="G310">
            <v>129.72</v>
          </cell>
        </row>
        <row r="311">
          <cell r="C311" t="str">
            <v>WPS63</v>
          </cell>
          <cell r="D311">
            <v>5056003705874</v>
          </cell>
          <cell r="E311" t="str">
            <v>Shaker Arm Assembly</v>
          </cell>
          <cell r="F311" t="str">
            <v>Spira 9-36KW</v>
          </cell>
          <cell r="G311">
            <v>142.07</v>
          </cell>
        </row>
        <row r="312">
          <cell r="C312" t="str">
            <v>WPS64</v>
          </cell>
          <cell r="D312">
            <v>5056003718898</v>
          </cell>
          <cell r="E312" t="str">
            <v>Spring Anchor (fixed)</v>
          </cell>
          <cell r="F312" t="str">
            <v>Spira</v>
          </cell>
          <cell r="G312" t="str">
            <v>POA</v>
          </cell>
        </row>
        <row r="313">
          <cell r="C313" t="str">
            <v>WPS65</v>
          </cell>
          <cell r="D313">
            <v>5056003718867</v>
          </cell>
          <cell r="E313" t="str">
            <v>Shaker Camber</v>
          </cell>
          <cell r="F313" t="str">
            <v>Spira 5-26KW</v>
          </cell>
          <cell r="G313" t="str">
            <v>POA</v>
          </cell>
        </row>
        <row r="314">
          <cell r="C314" t="str">
            <v>WPS66</v>
          </cell>
          <cell r="D314">
            <v>5056003718850</v>
          </cell>
          <cell r="E314" t="str">
            <v>Shaker Camber</v>
          </cell>
          <cell r="F314" t="str">
            <v>Spira 9-36KW</v>
          </cell>
          <cell r="G314" t="str">
            <v>POA</v>
          </cell>
        </row>
        <row r="315">
          <cell r="C315" t="str">
            <v>WPS72</v>
          </cell>
          <cell r="D315">
            <v>5056003705997</v>
          </cell>
          <cell r="E315" t="str">
            <v>Cleaning Door for Shaker Chamber</v>
          </cell>
          <cell r="F315" t="str">
            <v>Spira 5-26KW</v>
          </cell>
          <cell r="G315">
            <v>108.71</v>
          </cell>
        </row>
        <row r="316">
          <cell r="C316" t="str">
            <v>WPS73</v>
          </cell>
          <cell r="D316">
            <v>5056003705614</v>
          </cell>
          <cell r="E316" t="str">
            <v>Cleaning Door for Shaker Chamber</v>
          </cell>
          <cell r="F316" t="str">
            <v>Spira 9-36KW</v>
          </cell>
          <cell r="G316">
            <v>108.71</v>
          </cell>
        </row>
        <row r="317">
          <cell r="C317" t="str">
            <v>WPS74</v>
          </cell>
          <cell r="D317">
            <v>5056003705706</v>
          </cell>
          <cell r="E317" t="str">
            <v>Fibre Rope for Shaker Chamber</v>
          </cell>
          <cell r="F317" t="str">
            <v>Spira</v>
          </cell>
          <cell r="G317">
            <v>21.62</v>
          </cell>
        </row>
        <row r="318">
          <cell r="C318" t="str">
            <v>WPS76</v>
          </cell>
          <cell r="D318">
            <v>5056003705348</v>
          </cell>
          <cell r="E318" t="str">
            <v>Solenoid Valve</v>
          </cell>
          <cell r="F318" t="str">
            <v>Spira</v>
          </cell>
          <cell r="G318">
            <v>216.2</v>
          </cell>
        </row>
        <row r="319">
          <cell r="C319" t="str">
            <v>WPS77</v>
          </cell>
          <cell r="D319">
            <v>5056003705775</v>
          </cell>
          <cell r="E319" t="str">
            <v>Primary Spiral Baffle (3mm)</v>
          </cell>
          <cell r="F319" t="str">
            <v>Spira</v>
          </cell>
          <cell r="G319">
            <v>21.62</v>
          </cell>
        </row>
        <row r="320">
          <cell r="C320" t="str">
            <v>WPS78</v>
          </cell>
          <cell r="D320">
            <v>5056003718812</v>
          </cell>
          <cell r="E320" t="str">
            <v>Spiral Hanger</v>
          </cell>
          <cell r="F320" t="str">
            <v>Spira 5-26KW</v>
          </cell>
          <cell r="G320" t="str">
            <v>POA</v>
          </cell>
        </row>
        <row r="321">
          <cell r="C321" t="str">
            <v>WPS79</v>
          </cell>
          <cell r="D321">
            <v>5056003701265</v>
          </cell>
          <cell r="E321" t="str">
            <v>Spiral Hanger</v>
          </cell>
          <cell r="F321" t="str">
            <v>Spira 9-36KW</v>
          </cell>
          <cell r="G321">
            <v>86.49</v>
          </cell>
        </row>
        <row r="322">
          <cell r="C322" t="str">
            <v>WPS81</v>
          </cell>
          <cell r="D322">
            <v>5056003718782</v>
          </cell>
          <cell r="E322" t="str">
            <v>spring anchor movable</v>
          </cell>
          <cell r="F322" t="str">
            <v>Spira</v>
          </cell>
          <cell r="G322">
            <v>14.58</v>
          </cell>
        </row>
        <row r="323">
          <cell r="C323" t="str">
            <v>WPS82</v>
          </cell>
          <cell r="D323">
            <v>5056003705355</v>
          </cell>
          <cell r="E323" t="str">
            <v xml:space="preserve">Cleaning Door Mechanism Spring </v>
          </cell>
          <cell r="F323" t="str">
            <v>Spira</v>
          </cell>
          <cell r="G323">
            <v>12.71</v>
          </cell>
        </row>
        <row r="324">
          <cell r="C324" t="str">
            <v>WPS85</v>
          </cell>
          <cell r="D324">
            <v>5056003704242</v>
          </cell>
          <cell r="E324" t="str">
            <v>cleaning mechanism cam</v>
          </cell>
          <cell r="F324" t="str">
            <v>Spira</v>
          </cell>
          <cell r="G324">
            <v>151.35</v>
          </cell>
        </row>
        <row r="325">
          <cell r="C325" t="str">
            <v>WPS85B</v>
          </cell>
          <cell r="D325">
            <v>5056003702965</v>
          </cell>
          <cell r="E325" t="str">
            <v>Grub screw (for cleaning mechanism)</v>
          </cell>
          <cell r="F325" t="str">
            <v>Spira</v>
          </cell>
          <cell r="G325" t="str">
            <v>POA</v>
          </cell>
        </row>
        <row r="326">
          <cell r="C326" t="str">
            <v>WPS86</v>
          </cell>
          <cell r="D326">
            <v>5056003718713</v>
          </cell>
          <cell r="E326" t="str">
            <v>mounting flange- cleaning motor</v>
          </cell>
          <cell r="F326" t="str">
            <v>Spira</v>
          </cell>
          <cell r="G326" t="str">
            <v>POA</v>
          </cell>
        </row>
        <row r="327">
          <cell r="C327" t="str">
            <v>WPS88</v>
          </cell>
          <cell r="D327">
            <v>5056003706086</v>
          </cell>
          <cell r="E327" t="str">
            <v>door interlock microswitch wp boilers</v>
          </cell>
          <cell r="F327" t="str">
            <v>Spira</v>
          </cell>
          <cell r="G327">
            <v>15.13</v>
          </cell>
        </row>
        <row r="328">
          <cell r="C328" t="str">
            <v>WPS89</v>
          </cell>
          <cell r="D328">
            <v>5056003706031</v>
          </cell>
          <cell r="E328" t="str">
            <v>shaker chamber mounting gasket</v>
          </cell>
          <cell r="F328" t="str">
            <v>Spira</v>
          </cell>
          <cell r="G328">
            <v>5.57</v>
          </cell>
        </row>
        <row r="329">
          <cell r="C329" t="str">
            <v>WPS93</v>
          </cell>
          <cell r="D329">
            <v>5056003718607</v>
          </cell>
          <cell r="E329" t="str">
            <v>brass fitting 1" bsp x 22mm 311</v>
          </cell>
          <cell r="F329" t="str">
            <v>Spira 5-26KW</v>
          </cell>
          <cell r="G329" t="str">
            <v>POA</v>
          </cell>
        </row>
        <row r="330">
          <cell r="C330" t="str">
            <v>WPS94</v>
          </cell>
          <cell r="D330">
            <v>5056003718591</v>
          </cell>
          <cell r="E330" t="str">
            <v xml:space="preserve">1 1/4"  x 28mm  bsp brass fitting </v>
          </cell>
          <cell r="F330" t="str">
            <v>Spira 9-36KW</v>
          </cell>
          <cell r="G330" t="str">
            <v>POA</v>
          </cell>
        </row>
        <row r="331">
          <cell r="C331" t="str">
            <v>WPS97</v>
          </cell>
          <cell r="D331">
            <v>5056003705287</v>
          </cell>
          <cell r="E331" t="str">
            <v>combustion chamber baffle</v>
          </cell>
          <cell r="F331" t="str">
            <v>Spira 5-26KW</v>
          </cell>
          <cell r="G331">
            <v>74.13</v>
          </cell>
        </row>
        <row r="332">
          <cell r="C332" t="str">
            <v>WPS99</v>
          </cell>
          <cell r="D332">
            <v>5056003716382</v>
          </cell>
          <cell r="E332" t="str">
            <v>ash pan handles</v>
          </cell>
          <cell r="F332" t="str">
            <v>Spira</v>
          </cell>
          <cell r="G332">
            <v>49.42</v>
          </cell>
        </row>
        <row r="333">
          <cell r="C333" t="str">
            <v>WPSWASHDOWN6-26</v>
          </cell>
          <cell r="D333">
            <v>5056003772227</v>
          </cell>
          <cell r="E333" t="str">
            <v>Washdown kit</v>
          </cell>
          <cell r="F333" t="str">
            <v>Spira 6-26KW</v>
          </cell>
          <cell r="G333">
            <v>168.02</v>
          </cell>
        </row>
        <row r="334">
          <cell r="C334" t="str">
            <v>WPSWASHDOWN9-36</v>
          </cell>
          <cell r="D334">
            <v>5056003772234</v>
          </cell>
          <cell r="E334" t="str">
            <v>Washdown kit</v>
          </cell>
          <cell r="F334" t="str">
            <v>Spira 9-36KW</v>
          </cell>
          <cell r="G334">
            <v>168.02</v>
          </cell>
        </row>
        <row r="335">
          <cell r="C335" t="str">
            <v>WPV01</v>
          </cell>
          <cell r="D335">
            <v>5056003706093</v>
          </cell>
          <cell r="E335" t="str">
            <v>Motor</v>
          </cell>
          <cell r="F335" t="str">
            <v>SpiraVac</v>
          </cell>
          <cell r="G335">
            <v>562.12</v>
          </cell>
        </row>
        <row r="336">
          <cell r="C336" t="str">
            <v>WPV02</v>
          </cell>
          <cell r="D336">
            <v>5056003706215</v>
          </cell>
          <cell r="E336" t="str">
            <v>Programmable Relay</v>
          </cell>
          <cell r="F336" t="str">
            <v>SpiraVac</v>
          </cell>
          <cell r="G336">
            <v>518.88</v>
          </cell>
        </row>
        <row r="337">
          <cell r="C337" t="str">
            <v>WPV03</v>
          </cell>
          <cell r="D337">
            <v>5056003706307</v>
          </cell>
          <cell r="E337" t="str">
            <v>air pressure switch</v>
          </cell>
          <cell r="F337" t="str">
            <v>SpiraVac</v>
          </cell>
          <cell r="G337">
            <v>160</v>
          </cell>
        </row>
        <row r="338">
          <cell r="C338" t="str">
            <v>WPV04</v>
          </cell>
          <cell r="D338">
            <v>5056003706017</v>
          </cell>
          <cell r="E338" t="str">
            <v xml:space="preserve">11 pin relay base </v>
          </cell>
          <cell r="F338" t="str">
            <v>SpiraVac</v>
          </cell>
          <cell r="G338">
            <v>21.4</v>
          </cell>
        </row>
        <row r="339">
          <cell r="C339" t="str">
            <v>WPV05</v>
          </cell>
          <cell r="D339">
            <v>5056003706024</v>
          </cell>
          <cell r="E339" t="str">
            <v>11 pin relay</v>
          </cell>
          <cell r="F339" t="str">
            <v>SpiraVac</v>
          </cell>
          <cell r="G339">
            <v>34.369999999999997</v>
          </cell>
        </row>
        <row r="340">
          <cell r="C340" t="str">
            <v>WPV06</v>
          </cell>
          <cell r="D340">
            <v>5056003706314</v>
          </cell>
          <cell r="E340" t="str">
            <v>relay clip</v>
          </cell>
          <cell r="F340" t="str">
            <v>SpiraVac</v>
          </cell>
          <cell r="G340" t="str">
            <v>POA</v>
          </cell>
        </row>
        <row r="341">
          <cell r="C341" t="str">
            <v>WPV07</v>
          </cell>
          <cell r="D341">
            <v>5056003706222</v>
          </cell>
          <cell r="E341" t="str">
            <v xml:space="preserve">motor &amp; gearbox </v>
          </cell>
          <cell r="F341" t="str">
            <v>SpiraVac</v>
          </cell>
          <cell r="G341">
            <v>246.47</v>
          </cell>
        </row>
        <row r="342">
          <cell r="C342" t="str">
            <v>WPV08</v>
          </cell>
          <cell r="D342">
            <v>5056003706239</v>
          </cell>
          <cell r="E342" t="str">
            <v xml:space="preserve">isolator </v>
          </cell>
          <cell r="F342" t="str">
            <v>SpiraVac</v>
          </cell>
          <cell r="G342">
            <v>77.84</v>
          </cell>
        </row>
        <row r="343">
          <cell r="C343" t="str">
            <v>WPV09</v>
          </cell>
          <cell r="D343">
            <v>5056003706246</v>
          </cell>
          <cell r="E343" t="str">
            <v>auger spiral</v>
          </cell>
          <cell r="F343" t="str">
            <v>SpiraVac</v>
          </cell>
          <cell r="G343">
            <v>64.86</v>
          </cell>
        </row>
        <row r="344">
          <cell r="C344" t="str">
            <v>WPV10</v>
          </cell>
          <cell r="D344">
            <v>5056003706321</v>
          </cell>
          <cell r="E344" t="str">
            <v>auger shaft</v>
          </cell>
          <cell r="F344" t="str">
            <v>SpiraVac</v>
          </cell>
          <cell r="G344">
            <v>21.62</v>
          </cell>
        </row>
        <row r="345">
          <cell r="C345" t="str">
            <v>WPV11</v>
          </cell>
          <cell r="D345">
            <v>5056003706253</v>
          </cell>
          <cell r="E345" t="str">
            <v xml:space="preserve">auger clamp </v>
          </cell>
          <cell r="F345" t="str">
            <v>SpiraVac</v>
          </cell>
          <cell r="G345">
            <v>34.590000000000003</v>
          </cell>
        </row>
        <row r="346">
          <cell r="C346" t="str">
            <v>WPV12</v>
          </cell>
          <cell r="D346">
            <v>5056003706338</v>
          </cell>
          <cell r="E346" t="str">
            <v>m8 bolts</v>
          </cell>
          <cell r="F346" t="str">
            <v>SpiraVac</v>
          </cell>
          <cell r="G346" t="str">
            <v>POA</v>
          </cell>
        </row>
        <row r="347">
          <cell r="C347" t="str">
            <v>WPV13F</v>
          </cell>
          <cell r="D347">
            <v>5056003706277</v>
          </cell>
          <cell r="E347" t="str">
            <v>3 pin female plug</v>
          </cell>
          <cell r="F347" t="str">
            <v>SpiraVac</v>
          </cell>
          <cell r="G347">
            <v>6.49</v>
          </cell>
        </row>
        <row r="348">
          <cell r="C348" t="str">
            <v>WPV13M</v>
          </cell>
          <cell r="D348">
            <v>5056003706260</v>
          </cell>
          <cell r="E348" t="str">
            <v>3 pin male plug</v>
          </cell>
          <cell r="F348" t="str">
            <v>SpiraVac</v>
          </cell>
          <cell r="G348">
            <v>6.49</v>
          </cell>
        </row>
        <row r="349">
          <cell r="C349" t="str">
            <v>WPV15F</v>
          </cell>
          <cell r="D349">
            <v>5056003706284</v>
          </cell>
          <cell r="E349" t="str">
            <v>6 pin female plug</v>
          </cell>
          <cell r="F349" t="str">
            <v>SpiraVac</v>
          </cell>
          <cell r="G349">
            <v>19.46</v>
          </cell>
        </row>
        <row r="350">
          <cell r="C350" t="str">
            <v>WPV15M</v>
          </cell>
          <cell r="D350">
            <v>5056003706840</v>
          </cell>
          <cell r="E350" t="str">
            <v>6 pin male plug</v>
          </cell>
          <cell r="F350" t="str">
            <v>SpiraVac</v>
          </cell>
          <cell r="G350">
            <v>19.46</v>
          </cell>
        </row>
        <row r="351">
          <cell r="C351" t="str">
            <v>WPV16</v>
          </cell>
          <cell r="D351">
            <v>5056003706345</v>
          </cell>
          <cell r="E351" t="str">
            <v xml:space="preserve">air hose tube </v>
          </cell>
          <cell r="F351" t="str">
            <v>SpiraVac</v>
          </cell>
          <cell r="G351" t="str">
            <v>POA</v>
          </cell>
        </row>
        <row r="352">
          <cell r="C352" t="str">
            <v>WPV18</v>
          </cell>
          <cell r="D352">
            <v>5056003706352</v>
          </cell>
          <cell r="E352" t="str">
            <v>view cover</v>
          </cell>
          <cell r="F352" t="str">
            <v>SpiraVac</v>
          </cell>
          <cell r="G352" t="str">
            <v>POA</v>
          </cell>
        </row>
        <row r="353">
          <cell r="C353" t="str">
            <v>WPV19</v>
          </cell>
          <cell r="D353">
            <v>5056003706369</v>
          </cell>
          <cell r="E353" t="str">
            <v>filter unit</v>
          </cell>
          <cell r="F353" t="str">
            <v>SpiraVac</v>
          </cell>
          <cell r="G353" t="str">
            <v>POA</v>
          </cell>
        </row>
        <row r="354">
          <cell r="C354" t="str">
            <v>WPV20</v>
          </cell>
          <cell r="D354">
            <v>5056003706376</v>
          </cell>
          <cell r="E354" t="str">
            <v>bubble gasket</v>
          </cell>
          <cell r="F354" t="str">
            <v>SpiraVac</v>
          </cell>
          <cell r="G354" t="str">
            <v>POA</v>
          </cell>
        </row>
        <row r="355">
          <cell r="C355" t="str">
            <v>WPV21</v>
          </cell>
          <cell r="D355">
            <v>5056003706628</v>
          </cell>
          <cell r="E355" t="str">
            <v>fully programmed smart relay</v>
          </cell>
          <cell r="F355" t="str">
            <v>SpiraVac</v>
          </cell>
          <cell r="G355">
            <v>518.88</v>
          </cell>
        </row>
        <row r="356">
          <cell r="C356" t="str">
            <v>WPV22F</v>
          </cell>
          <cell r="D356">
            <v>5056003707014</v>
          </cell>
          <cell r="E356" t="str">
            <v xml:space="preserve">4 pin female mains plug </v>
          </cell>
          <cell r="F356" t="str">
            <v>SpiraVac</v>
          </cell>
          <cell r="G356">
            <v>6.49</v>
          </cell>
        </row>
        <row r="357">
          <cell r="C357" t="str">
            <v>WPV22M</v>
          </cell>
          <cell r="D357">
            <v>5056003707007</v>
          </cell>
          <cell r="E357" t="str">
            <v xml:space="preserve">4 pin male mains plug </v>
          </cell>
          <cell r="F357" t="str">
            <v>SpiraVac</v>
          </cell>
          <cell r="G357">
            <v>6.49</v>
          </cell>
        </row>
        <row r="358">
          <cell r="C358" t="str">
            <v>WPVCLIP/X</v>
          </cell>
          <cell r="D358">
            <v>5056003778229</v>
          </cell>
          <cell r="E358" t="str">
            <v>60-64 Rubber lined clip for vacuum hose</v>
          </cell>
          <cell r="F358" t="str">
            <v>SpiraVac</v>
          </cell>
          <cell r="G358">
            <v>8.86</v>
          </cell>
        </row>
        <row r="359">
          <cell r="C359" t="str">
            <v>WPVDAM110</v>
          </cell>
          <cell r="D359">
            <v>5056003718508</v>
          </cell>
          <cell r="E359" t="str">
            <v>Dam</v>
          </cell>
          <cell r="F359" t="str">
            <v>110KG Hopper</v>
          </cell>
          <cell r="G359" t="str">
            <v>POA</v>
          </cell>
        </row>
        <row r="360">
          <cell r="C360" t="str">
            <v>WPVDAM140</v>
          </cell>
          <cell r="D360">
            <v>5056003718492</v>
          </cell>
          <cell r="E360" t="str">
            <v>Dam</v>
          </cell>
          <cell r="F360" t="str">
            <v>140KG Hopper</v>
          </cell>
          <cell r="G360" t="str">
            <v>POA</v>
          </cell>
        </row>
        <row r="361">
          <cell r="C361" t="str">
            <v>WPVDAM200</v>
          </cell>
          <cell r="D361">
            <v>5056003718485</v>
          </cell>
          <cell r="E361" t="str">
            <v>dam</v>
          </cell>
          <cell r="F361" t="str">
            <v>200KG Hopper</v>
          </cell>
          <cell r="G361" t="str">
            <v>POA</v>
          </cell>
        </row>
        <row r="362">
          <cell r="C362" t="str">
            <v>VEC001</v>
          </cell>
          <cell r="D362">
            <v>5056003725957</v>
          </cell>
          <cell r="E362" t="str">
            <v>FRONT DOOR LOCK &amp; KEYS</v>
          </cell>
          <cell r="F362" t="str">
            <v>Vecta</v>
          </cell>
          <cell r="G362" t="str">
            <v>POA</v>
          </cell>
        </row>
        <row r="363">
          <cell r="C363" t="str">
            <v>VEC002</v>
          </cell>
          <cell r="D363">
            <v>5056003725964</v>
          </cell>
          <cell r="E363" t="str">
            <v>ELECTRICAL ISOLATION SWITCH</v>
          </cell>
          <cell r="F363" t="str">
            <v>Vecta</v>
          </cell>
          <cell r="G363" t="str">
            <v>POA</v>
          </cell>
        </row>
        <row r="364">
          <cell r="C364" t="str">
            <v>VEC002A</v>
          </cell>
          <cell r="D364">
            <v>5056003735413</v>
          </cell>
          <cell r="E364" t="str">
            <v>ON/OFF DIAL FOR ISOLATION SWITCH (VECOO2) C/W TURN BAR</v>
          </cell>
          <cell r="F364" t="str">
            <v>Vecta</v>
          </cell>
          <cell r="G364" t="str">
            <v>POA</v>
          </cell>
        </row>
        <row r="365">
          <cell r="C365" t="str">
            <v>VEC003</v>
          </cell>
          <cell r="D365">
            <v>5056003725971</v>
          </cell>
          <cell r="E365" t="str">
            <v>DISPLAY BOARD (LED SCREEN)</v>
          </cell>
          <cell r="F365" t="str">
            <v>Vecta</v>
          </cell>
          <cell r="G365" t="str">
            <v>POA</v>
          </cell>
        </row>
        <row r="366">
          <cell r="C366" t="str">
            <v>VEC004</v>
          </cell>
          <cell r="D366">
            <v>5056003725988</v>
          </cell>
          <cell r="E366" t="str">
            <v>ON / OFF SWITCH</v>
          </cell>
          <cell r="F366" t="str">
            <v>Vecta</v>
          </cell>
          <cell r="G366" t="str">
            <v>POA</v>
          </cell>
        </row>
        <row r="367">
          <cell r="C367" t="str">
            <v>VEC005</v>
          </cell>
          <cell r="D367">
            <v>5056003725995</v>
          </cell>
          <cell r="E367" t="str">
            <v>VECTA PCB BOARD</v>
          </cell>
          <cell r="F367" t="str">
            <v>Vecta</v>
          </cell>
          <cell r="G367" t="str">
            <v>POA</v>
          </cell>
        </row>
        <row r="368">
          <cell r="C368" t="str">
            <v>VEC006</v>
          </cell>
          <cell r="D368">
            <v>5056003726008</v>
          </cell>
          <cell r="E368" t="str">
            <v>POWER UNIT FOR PCB BOARD</v>
          </cell>
          <cell r="F368" t="str">
            <v>Vecta</v>
          </cell>
          <cell r="G368" t="str">
            <v>POA</v>
          </cell>
        </row>
        <row r="369">
          <cell r="C369" t="str">
            <v>VEC007</v>
          </cell>
          <cell r="D369">
            <v>5056003726015</v>
          </cell>
          <cell r="E369" t="str">
            <v>LAMBDA SENSOR</v>
          </cell>
          <cell r="F369" t="str">
            <v>Vecta</v>
          </cell>
          <cell r="G369" t="str">
            <v>POA</v>
          </cell>
        </row>
        <row r="370">
          <cell r="C370" t="str">
            <v>VEC008</v>
          </cell>
          <cell r="D370">
            <v>5056003726022</v>
          </cell>
          <cell r="E370" t="str">
            <v>LAMBDA SENSOR PCB BOARD</v>
          </cell>
          <cell r="F370" t="str">
            <v>Vecta</v>
          </cell>
          <cell r="G370" t="str">
            <v>POA</v>
          </cell>
        </row>
        <row r="371">
          <cell r="C371" t="str">
            <v>VEC009</v>
          </cell>
          <cell r="D371">
            <v>5056003726039</v>
          </cell>
          <cell r="E371" t="str">
            <v>COMPLETE HEAT EXCHANGER COVER COMPLETE WITH MANIFOLD</v>
          </cell>
          <cell r="F371" t="str">
            <v>Vecta</v>
          </cell>
          <cell r="G371" t="str">
            <v>POA</v>
          </cell>
        </row>
        <row r="372">
          <cell r="C372" t="str">
            <v>VEC010</v>
          </cell>
          <cell r="D372">
            <v>5056003726046</v>
          </cell>
          <cell r="E372" t="str">
            <v>NOZZLE TUBE (FOR WASHDOWN)</v>
          </cell>
          <cell r="F372" t="str">
            <v>Vecta</v>
          </cell>
          <cell r="G372" t="str">
            <v>POA</v>
          </cell>
        </row>
        <row r="373">
          <cell r="C373" t="str">
            <v>VEC011</v>
          </cell>
          <cell r="D373">
            <v>5056003726053</v>
          </cell>
          <cell r="E373" t="str">
            <v>NOZZLE HOLDER (FOR WASHDOWN)</v>
          </cell>
          <cell r="F373" t="str">
            <v>Vecta</v>
          </cell>
          <cell r="G373" t="str">
            <v>POA</v>
          </cell>
        </row>
        <row r="374">
          <cell r="C374" t="str">
            <v>VEC012</v>
          </cell>
          <cell r="D374">
            <v>5056003726060</v>
          </cell>
          <cell r="E374" t="str">
            <v>PRIMARY HEAT EXCHANGER SPIRALS</v>
          </cell>
          <cell r="F374" t="str">
            <v>Vecta</v>
          </cell>
          <cell r="G374" t="str">
            <v>POA</v>
          </cell>
        </row>
        <row r="375">
          <cell r="C375" t="str">
            <v>VEC013</v>
          </cell>
          <cell r="D375">
            <v>5056003726077</v>
          </cell>
          <cell r="E375" t="str">
            <v>SECONDARY HEAT EXCHANGER SPIARLS (LHS - 41/2 TURNS)</v>
          </cell>
          <cell r="F375" t="str">
            <v>Vecta</v>
          </cell>
          <cell r="G375" t="str">
            <v>POA</v>
          </cell>
        </row>
        <row r="376">
          <cell r="C376" t="str">
            <v>VEC014</v>
          </cell>
          <cell r="D376">
            <v>5056003726084</v>
          </cell>
          <cell r="E376" t="str">
            <v>SECONDARY HEAT EXCHANGER SPIARLS (LHS - 21/2 TURNS)</v>
          </cell>
          <cell r="F376" t="str">
            <v>Vecta</v>
          </cell>
          <cell r="G376" t="str">
            <v>POA</v>
          </cell>
        </row>
        <row r="377">
          <cell r="C377" t="str">
            <v>VEC015</v>
          </cell>
          <cell r="D377">
            <v>5056003726091</v>
          </cell>
          <cell r="E377" t="str">
            <v>SHAKER BOX GASKET</v>
          </cell>
          <cell r="F377" t="str">
            <v>Vecta</v>
          </cell>
          <cell r="G377" t="str">
            <v>POA</v>
          </cell>
        </row>
        <row r="378">
          <cell r="C378" t="str">
            <v>VEC018</v>
          </cell>
          <cell r="D378">
            <v>5056003726121</v>
          </cell>
          <cell r="E378" t="str">
            <v>ASH PAN</v>
          </cell>
          <cell r="F378" t="str">
            <v>Vecta</v>
          </cell>
          <cell r="G378" t="str">
            <v>POA</v>
          </cell>
        </row>
        <row r="379">
          <cell r="C379" t="str">
            <v>VEC019</v>
          </cell>
          <cell r="D379">
            <v>5056003726138</v>
          </cell>
          <cell r="E379" t="str">
            <v>MULTI PURPOSE TOOL</v>
          </cell>
          <cell r="F379" t="str">
            <v>Vecta</v>
          </cell>
          <cell r="G379" t="str">
            <v>POA</v>
          </cell>
        </row>
        <row r="380">
          <cell r="C380" t="str">
            <v>VEC020</v>
          </cell>
          <cell r="D380">
            <v>5056003726145</v>
          </cell>
          <cell r="E380" t="str">
            <v>VERTICAL COMBUSTION CHAMBER BAFFLE</v>
          </cell>
          <cell r="F380" t="str">
            <v>Vecta</v>
          </cell>
          <cell r="G380" t="str">
            <v>POA</v>
          </cell>
        </row>
        <row r="381">
          <cell r="C381" t="str">
            <v>VEC021</v>
          </cell>
          <cell r="D381">
            <v>5056003726152</v>
          </cell>
          <cell r="E381" t="str">
            <v>HORIZONTAL COMBUSTION CHAMBER BAFFLE</v>
          </cell>
          <cell r="F381" t="str">
            <v>Vecta</v>
          </cell>
          <cell r="G381" t="str">
            <v>POA</v>
          </cell>
        </row>
        <row r="382">
          <cell r="C382" t="str">
            <v>VEC022</v>
          </cell>
          <cell r="D382">
            <v>5056003726169</v>
          </cell>
          <cell r="E382" t="str">
            <v>BRAZIER FRONT PLATE C/W CATCH</v>
          </cell>
          <cell r="F382" t="str">
            <v>Vecta</v>
          </cell>
          <cell r="G382" t="str">
            <v>POA</v>
          </cell>
        </row>
        <row r="383">
          <cell r="C383" t="str">
            <v>VEC023</v>
          </cell>
          <cell r="D383">
            <v>5056003726176</v>
          </cell>
          <cell r="E383" t="str">
            <v>BRAZIER BASE PLATE</v>
          </cell>
          <cell r="F383" t="str">
            <v>Vecta</v>
          </cell>
          <cell r="G383" t="str">
            <v>POA</v>
          </cell>
        </row>
        <row r="384">
          <cell r="C384" t="str">
            <v>VEC024</v>
          </cell>
          <cell r="D384">
            <v>5056003726183</v>
          </cell>
          <cell r="E384" t="str">
            <v>COMPLETE BRAZIER ASSEMBLY</v>
          </cell>
          <cell r="F384" t="str">
            <v>Vecta</v>
          </cell>
          <cell r="G384" t="str">
            <v>POA</v>
          </cell>
        </row>
        <row r="385">
          <cell r="C385" t="str">
            <v>VEC025</v>
          </cell>
          <cell r="D385">
            <v>5056003726190</v>
          </cell>
          <cell r="E385" t="str">
            <v>FLAME POT</v>
          </cell>
          <cell r="F385" t="str">
            <v>Vecta</v>
          </cell>
          <cell r="G385" t="str">
            <v>POA</v>
          </cell>
        </row>
        <row r="386">
          <cell r="C386" t="str">
            <v>VEC026</v>
          </cell>
          <cell r="D386">
            <v>5056003726206</v>
          </cell>
          <cell r="E386" t="str">
            <v>AIR PRESSURE SWITCH</v>
          </cell>
          <cell r="F386" t="str">
            <v>Vecta</v>
          </cell>
          <cell r="G386" t="str">
            <v>POA</v>
          </cell>
        </row>
        <row r="387">
          <cell r="C387" t="str">
            <v>VEC027</v>
          </cell>
          <cell r="D387">
            <v>5056003726213</v>
          </cell>
          <cell r="E387" t="str">
            <v>MANUAL AIR VENT</v>
          </cell>
          <cell r="F387" t="str">
            <v>Vecta</v>
          </cell>
          <cell r="G387" t="str">
            <v>POA</v>
          </cell>
        </row>
        <row r="388">
          <cell r="C388" t="str">
            <v>VEC028</v>
          </cell>
          <cell r="D388">
            <v>5056003726220</v>
          </cell>
          <cell r="E388" t="str">
            <v>FLUE FAN MOTOR</v>
          </cell>
          <cell r="F388" t="str">
            <v>Vecta</v>
          </cell>
          <cell r="G388" t="str">
            <v>POA</v>
          </cell>
        </row>
        <row r="389">
          <cell r="C389" t="str">
            <v>VEC029</v>
          </cell>
          <cell r="D389">
            <v>5056003726237</v>
          </cell>
          <cell r="E389" t="str">
            <v>ACTUATOR BOARD</v>
          </cell>
          <cell r="F389" t="str">
            <v>Vecta</v>
          </cell>
          <cell r="G389" t="str">
            <v>POA</v>
          </cell>
        </row>
        <row r="390">
          <cell r="C390" t="str">
            <v>VEC030</v>
          </cell>
          <cell r="D390">
            <v>5056003726244</v>
          </cell>
          <cell r="E390" t="str">
            <v>FIRE DAMPER MOTOR (BELIMO)</v>
          </cell>
          <cell r="F390" t="str">
            <v>Vecta</v>
          </cell>
          <cell r="G390" t="str">
            <v>POA</v>
          </cell>
        </row>
        <row r="391">
          <cell r="C391" t="str">
            <v>VEC031</v>
          </cell>
          <cell r="D391">
            <v>5056003726251</v>
          </cell>
          <cell r="E391" t="str">
            <v>LINEAR MOTOR (LYNEX)</v>
          </cell>
          <cell r="F391" t="str">
            <v>Vecta</v>
          </cell>
          <cell r="G391" t="str">
            <v>POA</v>
          </cell>
        </row>
        <row r="392">
          <cell r="C392" t="str">
            <v>GCS01A</v>
          </cell>
          <cell r="D392">
            <v>5056003707069</v>
          </cell>
          <cell r="E392" t="str">
            <v>18 litre expansion vessel (¾" BSP) c/w hose</v>
          </cell>
          <cell r="F392" t="str">
            <v>Cylinders post Nov 2012</v>
          </cell>
          <cell r="G392">
            <v>78</v>
          </cell>
        </row>
        <row r="393">
          <cell r="C393" t="str">
            <v>GCS02</v>
          </cell>
          <cell r="D393">
            <v>5056003705539</v>
          </cell>
          <cell r="E393" t="str">
            <v>Expansion vessel hose (¾" BSPF x ¾" BSPM)</v>
          </cell>
          <cell r="F393" t="str">
            <v>All models</v>
          </cell>
          <cell r="G393">
            <v>13.13</v>
          </cell>
        </row>
        <row r="394">
          <cell r="C394" t="str">
            <v>GCS04A</v>
          </cell>
          <cell r="D394">
            <v>5056003707076</v>
          </cell>
          <cell r="E394" t="str">
            <v>25 litre expansion vessel (¾" BSP) c/w hose</v>
          </cell>
          <cell r="F394" t="str">
            <v>Cylinders post Nov 2012</v>
          </cell>
          <cell r="G394">
            <v>78.5</v>
          </cell>
        </row>
        <row r="395">
          <cell r="C395" t="str">
            <v>GCS05A</v>
          </cell>
          <cell r="D395">
            <v>5056003707083</v>
          </cell>
          <cell r="E395" t="str">
            <v>33 litre expansion vessel (¾" BSP) c/w hose</v>
          </cell>
          <cell r="F395" t="str">
            <v>Cylinders post Nov 2012</v>
          </cell>
          <cell r="G395">
            <v>179.7</v>
          </cell>
        </row>
        <row r="396">
          <cell r="C396" t="str">
            <v>GCS07</v>
          </cell>
          <cell r="D396">
            <v>5056003704594</v>
          </cell>
          <cell r="E396" t="str">
            <v>Pressure reducing inlet manifold (22mm) c/w 3 bar PRV and 6 bar expansion relief valve</v>
          </cell>
          <cell r="F396" t="str">
            <v>Cylinders post Nov 2012</v>
          </cell>
          <cell r="G396">
            <v>71.900000000000006</v>
          </cell>
        </row>
        <row r="397">
          <cell r="C397" t="str">
            <v>GCS07G</v>
          </cell>
          <cell r="D397">
            <v>5056003704600</v>
          </cell>
          <cell r="E397" t="str">
            <v>Pressure reducing inlet manifold (22mm) c/w 3 bar PRV and 6 bar expansion relief valve</v>
          </cell>
          <cell r="F397" t="str">
            <v>Cylinders pre Nov 2010</v>
          </cell>
          <cell r="G397">
            <v>88</v>
          </cell>
        </row>
        <row r="398">
          <cell r="C398" t="str">
            <v>GCS08</v>
          </cell>
          <cell r="D398">
            <v>5056003704624</v>
          </cell>
          <cell r="E398" t="str">
            <v xml:space="preserve">6 Bar Pressure relief valve (push fit) </v>
          </cell>
          <cell r="F398" t="str">
            <v>Cylinders pre Nov 2010</v>
          </cell>
          <cell r="G398">
            <v>30.01</v>
          </cell>
        </row>
        <row r="399">
          <cell r="C399" t="str">
            <v>GCS09</v>
          </cell>
          <cell r="D399">
            <v>5056003704563</v>
          </cell>
          <cell r="E399" t="str">
            <v>Temperature &amp; pressure valve (½" M parallel x 15mm compression) - 90°C/7 bar
Probe length: 97mm</v>
          </cell>
          <cell r="F399" t="str">
            <v>Up to 300 lt models</v>
          </cell>
          <cell r="G399">
            <v>44.24</v>
          </cell>
        </row>
        <row r="400">
          <cell r="C400" t="str">
            <v>GCS10</v>
          </cell>
          <cell r="D400">
            <v>5056003705195</v>
          </cell>
          <cell r="E400" t="str">
            <v>Tundish (15mm x 22mm) c/w plastic nuts</v>
          </cell>
          <cell r="F400" t="str">
            <v>All models post Nov 2010, up 300lt pre Nov 2010</v>
          </cell>
          <cell r="G400">
            <v>7.13</v>
          </cell>
        </row>
        <row r="401">
          <cell r="C401" t="str">
            <v>GCS11</v>
          </cell>
          <cell r="D401">
            <v>5056003705140</v>
          </cell>
          <cell r="E401" t="str">
            <v xml:space="preserve">Control / limit immersion thermostat 25°C/65°C adjustable &amp; 80°C limit c/w ½" pocket </v>
          </cell>
          <cell r="F401" t="str">
            <v>All models</v>
          </cell>
          <cell r="G401">
            <v>51.4</v>
          </cell>
        </row>
        <row r="402">
          <cell r="C402" t="str">
            <v>GCS13</v>
          </cell>
          <cell r="D402">
            <v>5056003705157</v>
          </cell>
          <cell r="E402" t="str">
            <v xml:space="preserve">Immersion heater (element) &amp; stat </v>
          </cell>
          <cell r="F402" t="str">
            <v>All models</v>
          </cell>
          <cell r="G402">
            <v>136.19999999999999</v>
          </cell>
        </row>
        <row r="403">
          <cell r="C403" t="str">
            <v>GCS14</v>
          </cell>
          <cell r="D403">
            <v>5056003705560</v>
          </cell>
          <cell r="E403" t="str">
            <v xml:space="preserve">Elbow / drain cock </v>
          </cell>
          <cell r="F403" t="str">
            <v>All models</v>
          </cell>
          <cell r="G403">
            <v>6.86</v>
          </cell>
        </row>
        <row r="404">
          <cell r="C404" t="str">
            <v>GCS17</v>
          </cell>
          <cell r="D404">
            <v>5056003704617</v>
          </cell>
          <cell r="E404" t="str">
            <v>Temperature &amp; pressure valve (¾" M x 22mm compression) - 90°C/7 bar
Probe length: 99mm</v>
          </cell>
          <cell r="F404" t="str">
            <v>400 - 500 ltr models</v>
          </cell>
          <cell r="G404">
            <v>58.5</v>
          </cell>
        </row>
        <row r="405">
          <cell r="C405" t="str">
            <v>GCS18</v>
          </cell>
          <cell r="D405">
            <v>5056003705553</v>
          </cell>
          <cell r="E405" t="str">
            <v xml:space="preserve">3 port motorised valve (22mm) </v>
          </cell>
          <cell r="F405" t="str">
            <v>All models</v>
          </cell>
          <cell r="G405">
            <v>282.39999999999998</v>
          </cell>
        </row>
        <row r="406">
          <cell r="C406" t="str">
            <v>GCS20X</v>
          </cell>
          <cell r="D406">
            <v>5056003705164</v>
          </cell>
          <cell r="E406" t="str">
            <v>2 port motorised valve 230v (22mm)</v>
          </cell>
          <cell r="F406" t="str">
            <v>All models</v>
          </cell>
          <cell r="G406">
            <v>235.3</v>
          </cell>
        </row>
        <row r="407">
          <cell r="C407" t="str">
            <v>GCS22</v>
          </cell>
          <cell r="D407">
            <v>5056003705201</v>
          </cell>
          <cell r="E407" t="str">
            <v>Tundish (22mm x 1" F) c/w nut &amp; olive</v>
          </cell>
          <cell r="F407" t="str">
            <v>400lt models pre Nov 2012</v>
          </cell>
          <cell r="G407">
            <v>8.1999999999999993</v>
          </cell>
        </row>
        <row r="408">
          <cell r="C408" t="str">
            <v>GCS23</v>
          </cell>
          <cell r="D408">
            <v>5056003707052</v>
          </cell>
          <cell r="E408" t="str">
            <v>12 litre expansion vessel (¾" BSP)</v>
          </cell>
          <cell r="F408" t="str">
            <v>125 - 150 lt models</v>
          </cell>
          <cell r="G408">
            <v>62.75</v>
          </cell>
        </row>
        <row r="409">
          <cell r="C409" t="str">
            <v>GCS27A</v>
          </cell>
          <cell r="D409">
            <v>5056003707090</v>
          </cell>
          <cell r="E409" t="str">
            <v>50 litre expansion vessel (1" BSP)</v>
          </cell>
          <cell r="F409" t="str">
            <v>Cylinders pre Nov 2012</v>
          </cell>
          <cell r="G409">
            <v>256.8</v>
          </cell>
        </row>
        <row r="410">
          <cell r="C410" t="str">
            <v>GCS31</v>
          </cell>
          <cell r="D410">
            <v>5056003705959</v>
          </cell>
          <cell r="E410" t="str">
            <v xml:space="preserve">Immersion stat only </v>
          </cell>
          <cell r="F410" t="str">
            <v>All models</v>
          </cell>
          <cell r="G410">
            <v>74.900000000000006</v>
          </cell>
        </row>
        <row r="411">
          <cell r="C411" t="str">
            <v>GCS33</v>
          </cell>
          <cell r="D411">
            <v>5056003705126</v>
          </cell>
          <cell r="E411" t="str">
            <v>Expansion vessel hose adaptor (1" female to ¾" male)</v>
          </cell>
          <cell r="F411" t="str">
            <v>400 Litre cylinders</v>
          </cell>
          <cell r="G411">
            <v>8.5399999999999991</v>
          </cell>
        </row>
        <row r="412">
          <cell r="C412" t="str">
            <v>GCS34</v>
          </cell>
          <cell r="D412">
            <v>5056003704570</v>
          </cell>
          <cell r="E412" t="str">
            <v>6 Bar Pressure relief valve (compression fitting)</v>
          </cell>
          <cell r="F412" t="str">
            <v>Post Nov 2010</v>
          </cell>
          <cell r="G412">
            <v>25.75</v>
          </cell>
        </row>
        <row r="413">
          <cell r="C413" t="str">
            <v>VM12/X</v>
          </cell>
          <cell r="D413">
            <v>5056003726268</v>
          </cell>
          <cell r="E413" t="str">
            <v xml:space="preserve">O-ring kit </v>
          </cell>
          <cell r="F413" t="str">
            <v>MagOne Filter</v>
          </cell>
          <cell r="G413">
            <v>8.86</v>
          </cell>
        </row>
        <row r="414">
          <cell r="C414" t="str">
            <v>EFBS09</v>
          </cell>
          <cell r="D414">
            <v>5056003700589</v>
          </cell>
          <cell r="E414" t="str">
            <v>Baffle Set (295mm Sq. Top)</v>
          </cell>
          <cell r="F414" t="str">
            <v>Euroflame 50/90 &amp; 70/90 (post 1994)</v>
          </cell>
          <cell r="G414">
            <v>163.44999999999999</v>
          </cell>
        </row>
        <row r="415">
          <cell r="C415" t="str">
            <v>EFBS18</v>
          </cell>
          <cell r="D415">
            <v>5056003700602</v>
          </cell>
          <cell r="E415" t="str">
            <v>Access/Combustion Door</v>
          </cell>
          <cell r="F415" t="str">
            <v>Euroflame 50/90, 70/90 &amp; 90/120 (pre Nov 2003)</v>
          </cell>
          <cell r="G415" t="str">
            <v>POA</v>
          </cell>
        </row>
        <row r="416">
          <cell r="C416" t="str">
            <v>EFBS18X</v>
          </cell>
          <cell r="D416">
            <v>5056003700619</v>
          </cell>
          <cell r="E416" t="str">
            <v>Access/Combustion Door</v>
          </cell>
          <cell r="F416" t="str">
            <v>Combi70 MKII, Combi70 V3, Euroflame 50/70 (pre Nov 2003)</v>
          </cell>
          <cell r="G416" t="str">
            <v>POA</v>
          </cell>
        </row>
        <row r="417">
          <cell r="C417" t="str">
            <v>EFBS20</v>
          </cell>
          <cell r="D417">
            <v>5056003700633</v>
          </cell>
          <cell r="E417" t="str">
            <v xml:space="preserve">Access/Combustion Door </v>
          </cell>
          <cell r="F417" t="str">
            <v>Euroflame 50/90, 70/90 &amp; 90/120 (post Nov 2003)</v>
          </cell>
          <cell r="G417" t="str">
            <v>POA</v>
          </cell>
        </row>
        <row r="418">
          <cell r="C418" t="str">
            <v>EFBS20X</v>
          </cell>
          <cell r="D418">
            <v>5056003700626</v>
          </cell>
          <cell r="E418" t="str">
            <v>Access/Combustion Door</v>
          </cell>
          <cell r="F418" t="str">
            <v>Combi70 MKII, Combi70 V3, Euroflame 50/70 (post Nov 2003)</v>
          </cell>
          <cell r="G418" t="str">
            <v>POA</v>
          </cell>
        </row>
        <row r="419">
          <cell r="C419" t="str">
            <v>EFBS30</v>
          </cell>
          <cell r="D419">
            <v>5056003701623</v>
          </cell>
          <cell r="E419" t="str">
            <v xml:space="preserve">Complete Baffle Set </v>
          </cell>
          <cell r="F419" t="str">
            <v>Combi70 MKII, Combi70 V3, Euroflame 50/70</v>
          </cell>
          <cell r="G419">
            <v>156.66</v>
          </cell>
        </row>
        <row r="420">
          <cell r="C420" t="str">
            <v>EFBS49</v>
          </cell>
          <cell r="D420">
            <v>5056003700640</v>
          </cell>
          <cell r="E420" t="str">
            <v>Complete Baffle Set</v>
          </cell>
          <cell r="F420" t="str">
            <v>Euroflame 90/120</v>
          </cell>
          <cell r="G420">
            <v>202.99</v>
          </cell>
        </row>
        <row r="421">
          <cell r="C421" t="str">
            <v>MPBS12</v>
          </cell>
          <cell r="D421">
            <v>5056003700701</v>
          </cell>
          <cell r="E421" t="str">
            <v>Complete Baffle Set</v>
          </cell>
          <cell r="F421" t="str">
            <v>Multipass 50/70</v>
          </cell>
          <cell r="G421">
            <v>149.86000000000001</v>
          </cell>
        </row>
        <row r="422">
          <cell r="C422" t="str">
            <v>MPBS12X</v>
          </cell>
          <cell r="D422">
            <v>5056003700749</v>
          </cell>
          <cell r="E422" t="str">
            <v>Bottom Baffle Set</v>
          </cell>
          <cell r="F422" t="str">
            <v>Multipass 50/70</v>
          </cell>
          <cell r="G422">
            <v>102.17</v>
          </cell>
        </row>
        <row r="423">
          <cell r="C423" t="str">
            <v>MPBS13</v>
          </cell>
          <cell r="D423">
            <v>5056003702699</v>
          </cell>
          <cell r="E423" t="str">
            <v xml:space="preserve">Complete Baffle Set </v>
          </cell>
          <cell r="F423" t="str">
            <v>Combi90 MKII, Multipass 70/90</v>
          </cell>
          <cell r="G423">
            <v>171.6</v>
          </cell>
        </row>
        <row r="424">
          <cell r="C424" t="str">
            <v>MPBS13X</v>
          </cell>
          <cell r="D424">
            <v>5056003702705</v>
          </cell>
          <cell r="E424" t="str">
            <v xml:space="preserve">Bottom Baffle Set </v>
          </cell>
          <cell r="F424" t="str">
            <v>Combi90 MKII, Multipass 70/90</v>
          </cell>
          <cell r="G424">
            <v>106.87</v>
          </cell>
        </row>
        <row r="425">
          <cell r="C425" t="str">
            <v>MPBS14</v>
          </cell>
          <cell r="D425">
            <v>5056003700718</v>
          </cell>
          <cell r="E425" t="str">
            <v>Complete Baffle Set</v>
          </cell>
          <cell r="F425" t="str">
            <v>Multipass 90/110</v>
          </cell>
          <cell r="G425">
            <v>204.34</v>
          </cell>
        </row>
        <row r="426">
          <cell r="C426" t="str">
            <v>MPBS15</v>
          </cell>
          <cell r="D426">
            <v>5056003700725</v>
          </cell>
          <cell r="E426" t="str">
            <v>Complete Baffle Set</v>
          </cell>
          <cell r="F426" t="str">
            <v>Multipass 90/140 &amp; 110/140</v>
          </cell>
          <cell r="G426">
            <v>204.34</v>
          </cell>
        </row>
        <row r="427">
          <cell r="C427" t="str">
            <v>MPBS15X</v>
          </cell>
          <cell r="D427">
            <v>5056003700756</v>
          </cell>
          <cell r="E427" t="str">
            <v>Bottom Baffle Set</v>
          </cell>
          <cell r="F427" t="str">
            <v>Multipass 90/140 &amp; 110/140</v>
          </cell>
          <cell r="G427">
            <v>122.56</v>
          </cell>
        </row>
        <row r="428">
          <cell r="C428" t="str">
            <v>MPBS16</v>
          </cell>
          <cell r="D428">
            <v>5056003702682</v>
          </cell>
          <cell r="E428" t="str">
            <v>Access/Combustion Door</v>
          </cell>
          <cell r="F428" t="str">
            <v>Combi90 MKII, Combi 90 V3, Multipass 50/70, 50/90 &amp; 70/90</v>
          </cell>
          <cell r="G428" t="str">
            <v>POA</v>
          </cell>
        </row>
        <row r="429">
          <cell r="C429" t="str">
            <v>MPBS17</v>
          </cell>
          <cell r="D429">
            <v>5056003701654</v>
          </cell>
          <cell r="E429" t="str">
            <v>Access/Combustion Door</v>
          </cell>
          <cell r="F429" t="str">
            <v>Multipass 90/110 &amp; 90/140</v>
          </cell>
          <cell r="G429" t="str">
            <v>POA</v>
          </cell>
        </row>
        <row r="430">
          <cell r="C430" t="str">
            <v>MPBS17L</v>
          </cell>
          <cell r="D430">
            <v>5056003702750</v>
          </cell>
          <cell r="E430" t="str">
            <v>Access/Combustion Door</v>
          </cell>
          <cell r="F430" t="str">
            <v>Multipass 140/200</v>
          </cell>
          <cell r="G430" t="str">
            <v>POA</v>
          </cell>
        </row>
        <row r="431">
          <cell r="C431" t="str">
            <v>MPBS27</v>
          </cell>
          <cell r="D431">
            <v>5056003720921</v>
          </cell>
          <cell r="E431" t="str">
            <v>Complete Baffle Set</v>
          </cell>
          <cell r="F431" t="str">
            <v>Multipass 160/200</v>
          </cell>
          <cell r="G431">
            <v>224.73</v>
          </cell>
        </row>
        <row r="432">
          <cell r="C432" t="str">
            <v>MPBS28</v>
          </cell>
          <cell r="D432">
            <v>5056003720938</v>
          </cell>
          <cell r="E432" t="str">
            <v>Complete Baffle Set</v>
          </cell>
          <cell r="F432" t="str">
            <v>Multipass 140/160</v>
          </cell>
          <cell r="G432">
            <v>211.14</v>
          </cell>
        </row>
        <row r="433">
          <cell r="C433" t="str">
            <v>MPCBS110</v>
          </cell>
          <cell r="D433">
            <v>5056003704938</v>
          </cell>
          <cell r="E433" t="str">
            <v>Access/Combustion Door</v>
          </cell>
          <cell r="F433" t="str">
            <v>Vortex Pro Combi 26KW (pre Dec 2014)</v>
          </cell>
          <cell r="G433" t="str">
            <v>POA</v>
          </cell>
        </row>
        <row r="434">
          <cell r="C434" t="str">
            <v>MPCBS110A</v>
          </cell>
          <cell r="D434">
            <v>5056003702989</v>
          </cell>
          <cell r="E434" t="str">
            <v>Access/Combustion Door</v>
          </cell>
          <cell r="F434" t="str">
            <v>Vortex Pro Combi 26KW (post Dec 2014)</v>
          </cell>
          <cell r="G434" t="str">
            <v>POA</v>
          </cell>
        </row>
        <row r="435">
          <cell r="C435" t="str">
            <v>MPCBS110B</v>
          </cell>
          <cell r="D435">
            <v>50560037395350</v>
          </cell>
          <cell r="E435" t="str">
            <v>Access/ Combusion Door</v>
          </cell>
          <cell r="F435" t="str">
            <v>Vortex Pro Combi 26kW (July 2017)</v>
          </cell>
          <cell r="G435" t="str">
            <v>POA</v>
          </cell>
        </row>
        <row r="436">
          <cell r="C436" t="str">
            <v>MPCBS111A</v>
          </cell>
          <cell r="D436">
            <v>5056003702972</v>
          </cell>
          <cell r="E436" t="str">
            <v>Access/Combustion Door</v>
          </cell>
          <cell r="F436" t="str">
            <v>Vortex Pro Combi 21KW, Vortex Pro 15-21KW</v>
          </cell>
          <cell r="G436" t="str">
            <v>POA</v>
          </cell>
        </row>
        <row r="437">
          <cell r="C437" t="str">
            <v>MPCBS51</v>
          </cell>
          <cell r="D437">
            <v>5056003701630</v>
          </cell>
          <cell r="E437" t="str">
            <v>Complete Baffle Set</v>
          </cell>
          <cell r="F437" t="str">
            <v>Combi90 V3</v>
          </cell>
          <cell r="G437">
            <v>171.6</v>
          </cell>
        </row>
        <row r="438">
          <cell r="C438" t="str">
            <v>MPCBS51X</v>
          </cell>
          <cell r="D438">
            <v>5056003700787</v>
          </cell>
          <cell r="E438" t="str">
            <v>Bottom Baffle Set</v>
          </cell>
          <cell r="F438" t="str">
            <v>Combi90 V3</v>
          </cell>
          <cell r="G438">
            <v>106.87</v>
          </cell>
        </row>
        <row r="439">
          <cell r="C439" t="str">
            <v>MPCBS52</v>
          </cell>
          <cell r="D439">
            <v>5056003701647</v>
          </cell>
          <cell r="E439" t="str">
            <v>Complete Baffle Set</v>
          </cell>
          <cell r="F439" t="str">
            <v>Combi MAX</v>
          </cell>
          <cell r="G439">
            <v>171.6</v>
          </cell>
        </row>
        <row r="440">
          <cell r="C440" t="str">
            <v>MPCBS52X</v>
          </cell>
          <cell r="D440">
            <v>5056003700794</v>
          </cell>
          <cell r="E440" t="str">
            <v xml:space="preserve">Bottom Baffle Set </v>
          </cell>
          <cell r="F440" t="str">
            <v>Combi MAX</v>
          </cell>
          <cell r="G440">
            <v>106.87</v>
          </cell>
        </row>
        <row r="441">
          <cell r="C441" t="str">
            <v>TPBS23L</v>
          </cell>
          <cell r="D441">
            <v>5056003701142</v>
          </cell>
          <cell r="E441" t="str">
            <v>Access/Combustion Door Rope Gasket</v>
          </cell>
          <cell r="F441" t="str">
            <v>Combi 90MKII, Combi 90V3, MP50/90, MP90/140</v>
          </cell>
          <cell r="G441">
            <v>36.81</v>
          </cell>
        </row>
        <row r="442">
          <cell r="C442" t="str">
            <v>TPBS24</v>
          </cell>
          <cell r="D442">
            <v>5056003701159</v>
          </cell>
          <cell r="E442" t="str">
            <v>Access/Combustion Door Rope Gasket</v>
          </cell>
          <cell r="F442" t="str">
            <v>MP140/200</v>
          </cell>
          <cell r="G442">
            <v>39.54</v>
          </cell>
        </row>
        <row r="443">
          <cell r="C443" t="str">
            <v>VBS01</v>
          </cell>
          <cell r="D443">
            <v>5056003700879</v>
          </cell>
          <cell r="E443" t="str">
            <v>Complete Baffle Set</v>
          </cell>
          <cell r="F443" t="str">
            <v>Vortex Pro Combi 26KW, Vortex Pro 15 - 26KW</v>
          </cell>
          <cell r="G443">
            <v>150.22</v>
          </cell>
        </row>
        <row r="444">
          <cell r="C444" t="str">
            <v>VBS03</v>
          </cell>
          <cell r="D444">
            <v>5056003704310</v>
          </cell>
          <cell r="E444" t="str">
            <v>Turbulators (476mm)</v>
          </cell>
          <cell r="F444" t="str">
            <v>Vortex Pro 46-70KW, Vortex Boiler House 46-70kW</v>
          </cell>
          <cell r="G444">
            <v>20.39</v>
          </cell>
        </row>
        <row r="445">
          <cell r="C445" t="str">
            <v>VBS04</v>
          </cell>
          <cell r="D445">
            <v>5056003704006</v>
          </cell>
          <cell r="E445" t="str">
            <v>Access/Combustion Door</v>
          </cell>
          <cell r="F445" t="str">
            <v>Vortex Pro 46-70KW, Vortex Boiler House 46-70kW</v>
          </cell>
          <cell r="G445" t="str">
            <v>POA</v>
          </cell>
        </row>
        <row r="446">
          <cell r="C446" t="str">
            <v>VBS05</v>
          </cell>
          <cell r="D446">
            <v>5056003700909</v>
          </cell>
          <cell r="E446" t="str">
            <v xml:space="preserve">Turbulator (360mm) </v>
          </cell>
          <cell r="F446" t="str">
            <v>Vortex Pro Combi, Vortex Pro 15 - 46KW, Vortex Eco, Vortex Boiler House 15-46kW</v>
          </cell>
          <cell r="G446">
            <v>14.52</v>
          </cell>
        </row>
        <row r="447">
          <cell r="C447" t="str">
            <v>VBS10</v>
          </cell>
          <cell r="D447">
            <v>5056003700947</v>
          </cell>
          <cell r="E447" t="str">
            <v>Bottom Baffle Set</v>
          </cell>
          <cell r="F447" t="str">
            <v>Vortex Pro Combi 36KW, Vortex Pro 26- 46KW</v>
          </cell>
          <cell r="G447">
            <v>103.16</v>
          </cell>
        </row>
        <row r="448">
          <cell r="C448" t="str">
            <v>VBS11</v>
          </cell>
          <cell r="D448">
            <v>5056003700930</v>
          </cell>
          <cell r="E448" t="str">
            <v>Bottom Baffle Set</v>
          </cell>
          <cell r="F448" t="str">
            <v>Vortex Pro Combi 26KW, Vortex Pro 15 - 26KW</v>
          </cell>
          <cell r="G448">
            <v>89.44</v>
          </cell>
        </row>
        <row r="449">
          <cell r="C449" t="str">
            <v>VBS111</v>
          </cell>
          <cell r="D449">
            <v>5056003703085</v>
          </cell>
          <cell r="E449" t="str">
            <v xml:space="preserve">Access/Combustion Door Rope Gasket </v>
          </cell>
          <cell r="F449" t="str">
            <v>Vortex Pro 46-70KW</v>
          </cell>
          <cell r="G449">
            <v>40.89</v>
          </cell>
        </row>
        <row r="450">
          <cell r="C450" t="str">
            <v>VBS137A</v>
          </cell>
          <cell r="D450">
            <v>5056003708301</v>
          </cell>
          <cell r="E450" t="str">
            <v>Complete Baffle Set</v>
          </cell>
          <cell r="F450" t="str">
            <v>Vortex Combi XS</v>
          </cell>
          <cell r="G450">
            <v>177.04</v>
          </cell>
        </row>
        <row r="451">
          <cell r="C451" t="str">
            <v>VBS15</v>
          </cell>
          <cell r="D451">
            <v>5056003700978</v>
          </cell>
          <cell r="E451" t="str">
            <v>Access/Combustion Door Rope Gasket</v>
          </cell>
          <cell r="F451" t="str">
            <v>Vortex Pro Combi 26KW, Vortex Pro 15 - 26KW, Vortex Eco 15-26KW</v>
          </cell>
          <cell r="G451">
            <v>33.24</v>
          </cell>
        </row>
        <row r="452">
          <cell r="C452" t="str">
            <v>VBS15X</v>
          </cell>
          <cell r="D452">
            <v>5056003781632</v>
          </cell>
          <cell r="E452" t="str">
            <v>Access/Combustion Door Rope Gasket</v>
          </cell>
          <cell r="F452" t="str">
            <v>Vortex Pro 15-21, Vortex Eco 15-21, Vortex Pro Combi XS</v>
          </cell>
          <cell r="G452">
            <v>33.24</v>
          </cell>
        </row>
        <row r="453">
          <cell r="C453" t="str">
            <v>VBS16</v>
          </cell>
          <cell r="D453">
            <v>5056003700985</v>
          </cell>
          <cell r="E453" t="str">
            <v>Access/Combustion Door Rope Gasket</v>
          </cell>
          <cell r="F453" t="str">
            <v>Vortex Pro Combi 36KW, Vortex Pro 26- 46KW, Vortex Eco 26-35KW</v>
          </cell>
          <cell r="G453">
            <v>34.729999999999997</v>
          </cell>
        </row>
        <row r="454">
          <cell r="C454" t="str">
            <v>VBS36</v>
          </cell>
          <cell r="D454">
            <v>5056003705492</v>
          </cell>
          <cell r="E454" t="str">
            <v>Complete Baffle Set</v>
          </cell>
          <cell r="F454" t="str">
            <v>Vortex Pro Combi 36KW, Vortex Pro 26- 46KW, Vortex Boiler House 36-46kW</v>
          </cell>
          <cell r="G454">
            <v>183.09</v>
          </cell>
        </row>
        <row r="455">
          <cell r="C455" t="str">
            <v>VBS69WHT</v>
          </cell>
          <cell r="D455">
            <v>5056003734744</v>
          </cell>
          <cell r="E455" t="str">
            <v>Access/Combustion Door (white)</v>
          </cell>
          <cell r="F455" t="str">
            <v>Vortex Pro 15 - 26KW, Vortex Eco 26-35KW, Vortex Boiler House 26-35kW</v>
          </cell>
          <cell r="G455" t="str">
            <v>POA</v>
          </cell>
        </row>
        <row r="456">
          <cell r="C456" t="str">
            <v>VBS69X</v>
          </cell>
          <cell r="D456">
            <v>5056003700855</v>
          </cell>
          <cell r="E456" t="str">
            <v>Access/Combustion Door</v>
          </cell>
          <cell r="F456" t="str">
            <v>Vortex Pro 26- 46KW, Vortex Boiler House 36-46kW</v>
          </cell>
          <cell r="G456" t="str">
            <v>POA</v>
          </cell>
        </row>
        <row r="457">
          <cell r="C457" t="str">
            <v>VBS69Z</v>
          </cell>
          <cell r="D457">
            <v>5056003704655</v>
          </cell>
          <cell r="E457" t="str">
            <v>Access/Combustion Door</v>
          </cell>
          <cell r="F457" t="str">
            <v>Vortex Pro Combi 36</v>
          </cell>
          <cell r="G457" t="str">
            <v>POA</v>
          </cell>
        </row>
        <row r="458">
          <cell r="C458" t="str">
            <v>VBS69ZA</v>
          </cell>
          <cell r="D458">
            <v>5056003707847</v>
          </cell>
          <cell r="E458" t="str">
            <v>Access/Combustion Door Vessel Bracket</v>
          </cell>
          <cell r="F458" t="str">
            <v>Vortex Pro Combi 36 (post Dec 2014)</v>
          </cell>
          <cell r="G458" t="str">
            <v>POA</v>
          </cell>
        </row>
        <row r="459">
          <cell r="C459" t="str">
            <v>VBS76</v>
          </cell>
          <cell r="D459">
            <v>5056003700886</v>
          </cell>
          <cell r="E459" t="str">
            <v>Complete Baffle Set</v>
          </cell>
          <cell r="F459" t="str">
            <v>Vortex Pro 46-58KW, Vortex Boiler 46-58kW</v>
          </cell>
          <cell r="G459">
            <v>212.13</v>
          </cell>
        </row>
        <row r="460">
          <cell r="C460" t="str">
            <v>VBS77</v>
          </cell>
          <cell r="D460">
            <v>5056003709506</v>
          </cell>
          <cell r="E460" t="str">
            <v>Complete Baffle Set</v>
          </cell>
          <cell r="F460" t="str">
            <v>Vortex Pro 58-70KW, Vortex Boiler House 58-70kW</v>
          </cell>
          <cell r="G460">
            <v>225.72</v>
          </cell>
        </row>
        <row r="461">
          <cell r="C461" t="str">
            <v>VBS92</v>
          </cell>
          <cell r="D461">
            <v>5056003700381</v>
          </cell>
          <cell r="E461" t="str">
            <v>Access/Combustion Door</v>
          </cell>
          <cell r="F461" t="str">
            <v>Vortex Eco 15 - 26KW, Vortex Boiler House 15-26kW</v>
          </cell>
          <cell r="G461" t="str">
            <v>POA</v>
          </cell>
        </row>
        <row r="462">
          <cell r="C462" t="str">
            <v>VBS93</v>
          </cell>
          <cell r="D462">
            <v>5056003700862</v>
          </cell>
          <cell r="E462" t="str">
            <v>Complete Baffle Set</v>
          </cell>
          <cell r="F462" t="str">
            <v>Vortex Pro Combi 21KW, Vortex Pro 15-21KW</v>
          </cell>
          <cell r="G462">
            <v>143.44</v>
          </cell>
        </row>
        <row r="463">
          <cell r="C463" t="str">
            <v>VBS93B</v>
          </cell>
          <cell r="D463">
            <v>5056003717327</v>
          </cell>
          <cell r="E463" t="str">
            <v>Bottom Baffle</v>
          </cell>
          <cell r="F463" t="str">
            <v>Vortex Pro Combi 21KW, Vortex Pro 15-21KW</v>
          </cell>
          <cell r="G463">
            <v>98.59</v>
          </cell>
        </row>
        <row r="464">
          <cell r="C464" t="str">
            <v>VBS96</v>
          </cell>
          <cell r="D464">
            <v>5056003701302</v>
          </cell>
          <cell r="E464" t="str">
            <v>Complete Baffle Set</v>
          </cell>
          <cell r="F464" t="str">
            <v>Vortex Eco 15 - 26KW, Vortex Boiler House 15-26kW</v>
          </cell>
          <cell r="G464">
            <v>157.15</v>
          </cell>
        </row>
        <row r="465">
          <cell r="C465" t="str">
            <v>VBS96A</v>
          </cell>
          <cell r="D465">
            <v>5056003707960</v>
          </cell>
          <cell r="E465" t="str">
            <v>Base Baffle</v>
          </cell>
          <cell r="F465" t="str">
            <v>Vortex Eco 15 - 26KW</v>
          </cell>
          <cell r="G465">
            <v>89.94</v>
          </cell>
        </row>
        <row r="466">
          <cell r="C466" t="str">
            <v>VBS97</v>
          </cell>
          <cell r="D466">
            <v>5056003700350</v>
          </cell>
          <cell r="E466" t="str">
            <v>Complete Baffle Set</v>
          </cell>
          <cell r="F466" t="str">
            <v>Vortex Eco 26- 35KW, Vortex Boiler House 26-35kW</v>
          </cell>
          <cell r="G466">
            <v>171.48</v>
          </cell>
        </row>
        <row r="467">
          <cell r="C467" t="str">
            <v>WBS01</v>
          </cell>
          <cell r="D467">
            <v>5056003704327</v>
          </cell>
          <cell r="E467" t="str">
            <v>Turbulator</v>
          </cell>
          <cell r="F467" t="str">
            <v>Vortex Eco Wall Hung Internal 12-21 KW</v>
          </cell>
          <cell r="G467">
            <v>14.52</v>
          </cell>
        </row>
        <row r="468">
          <cell r="C468" t="str">
            <v>WBS03</v>
          </cell>
          <cell r="D468">
            <v>5056003700442</v>
          </cell>
          <cell r="E468" t="str">
            <v>Complete Baffle Set</v>
          </cell>
          <cell r="F468" t="str">
            <v>Vortex Eco Wall Hung 12-21KW</v>
          </cell>
          <cell r="G468">
            <v>160.74</v>
          </cell>
        </row>
        <row r="469">
          <cell r="C469" t="str">
            <v>WBS03A</v>
          </cell>
          <cell r="D469">
            <v>5056003706901</v>
          </cell>
          <cell r="E469" t="str">
            <v>Base Baffle</v>
          </cell>
          <cell r="F469" t="str">
            <v>Vortex Eco Wall Hung 12-21KW</v>
          </cell>
          <cell r="G469">
            <v>85.87</v>
          </cell>
        </row>
        <row r="470">
          <cell r="C470" t="str">
            <v>WBS04</v>
          </cell>
          <cell r="D470">
            <v>5056003700459</v>
          </cell>
          <cell r="E470" t="str">
            <v>Combustion Door</v>
          </cell>
          <cell r="F470" t="str">
            <v>Vortex Eco Wall Hung 12-21KW</v>
          </cell>
          <cell r="G470" t="str">
            <v>POA</v>
          </cell>
        </row>
        <row r="471">
          <cell r="C471" t="str">
            <v>WBS05</v>
          </cell>
          <cell r="D471">
            <v>5056003700466</v>
          </cell>
          <cell r="E471" t="str">
            <v>Access/Combustion Door Rope Gasket</v>
          </cell>
          <cell r="F471" t="str">
            <v>Vortex Eco Wall Hung 12-21KW</v>
          </cell>
          <cell r="G471">
            <v>30.27</v>
          </cell>
        </row>
        <row r="472">
          <cell r="C472" t="str">
            <v>RDB1NEUTRALBURNER</v>
          </cell>
          <cell r="D472">
            <v>5056003732337</v>
          </cell>
          <cell r="E472" t="str">
            <v>RDB 1 Neutral burner</v>
          </cell>
          <cell r="F472" t="str">
            <v>Riello RDB Neutral</v>
          </cell>
          <cell r="G472">
            <v>643.86</v>
          </cell>
        </row>
        <row r="473">
          <cell r="C473" t="str">
            <v>RDB20094977</v>
          </cell>
          <cell r="D473">
            <v>5056003777369</v>
          </cell>
          <cell r="E473" t="str">
            <v>RDB Low NOx Burner</v>
          </cell>
          <cell r="F473" t="str">
            <v>Vortex Pro 15/26kW (low NOx models)</v>
          </cell>
          <cell r="G473" t="str">
            <v>POA</v>
          </cell>
        </row>
        <row r="474">
          <cell r="C474" t="str">
            <v>RDB20109931</v>
          </cell>
          <cell r="D474">
            <v>5056003777376</v>
          </cell>
          <cell r="E474" t="str">
            <v>RDB Low NOx Burner</v>
          </cell>
          <cell r="F474" t="str">
            <v>Vortex 26-36kW (low NOx models)</v>
          </cell>
          <cell r="G474" t="str">
            <v>POA</v>
          </cell>
        </row>
        <row r="475">
          <cell r="C475" t="str">
            <v>RDB20110334</v>
          </cell>
          <cell r="D475">
            <v>5056003777383</v>
          </cell>
          <cell r="E475" t="str">
            <v>RDB Low NOx Burner</v>
          </cell>
          <cell r="F475" t="str">
            <v>Vortex 36-46kW (low NOx models)</v>
          </cell>
          <cell r="G475" t="str">
            <v>POA</v>
          </cell>
        </row>
        <row r="476">
          <cell r="C476" t="str">
            <v>RDB20147321</v>
          </cell>
          <cell r="D476">
            <v>5056003777390</v>
          </cell>
          <cell r="E476" t="str">
            <v>RDB Low NOx Burner</v>
          </cell>
          <cell r="F476" t="str">
            <v>Vortex 15-21kW, Vortex Combi 21kW (low NOx models)</v>
          </cell>
          <cell r="G476" t="str">
            <v>POA</v>
          </cell>
        </row>
        <row r="477">
          <cell r="C477" t="str">
            <v>RDB20147322</v>
          </cell>
          <cell r="D477">
            <v>5056003777406</v>
          </cell>
          <cell r="E477" t="str">
            <v>RDB Low NOx Burner</v>
          </cell>
          <cell r="F477" t="str">
            <v>Vortex Combi 26kW (low NOx models)</v>
          </cell>
          <cell r="G477" t="str">
            <v>POA</v>
          </cell>
        </row>
        <row r="478">
          <cell r="C478" t="str">
            <v>RDB20147346</v>
          </cell>
          <cell r="D478">
            <v>5056003777413</v>
          </cell>
          <cell r="E478" t="str">
            <v>RDB Low NOx Burner</v>
          </cell>
          <cell r="F478" t="str">
            <v>Vortex Eco 21-26kW (low NOx models)</v>
          </cell>
          <cell r="G478" t="str">
            <v>POA</v>
          </cell>
        </row>
        <row r="479">
          <cell r="C479" t="str">
            <v>RDB20147350</v>
          </cell>
          <cell r="D479">
            <v>5056003777420</v>
          </cell>
          <cell r="E479" t="str">
            <v>RDB Low NOx Burner</v>
          </cell>
          <cell r="F479" t="str">
            <v>Vortex Combi 36kW (low NOx models)</v>
          </cell>
          <cell r="G479" t="str">
            <v>POA</v>
          </cell>
        </row>
        <row r="480">
          <cell r="C480" t="str">
            <v>RDB2NEUTRALBURNER</v>
          </cell>
          <cell r="D480">
            <v>5056003732344</v>
          </cell>
          <cell r="E480" t="str">
            <v>RDB 2 Neutral burner</v>
          </cell>
          <cell r="F480" t="str">
            <v>Riello RDB Neutral</v>
          </cell>
          <cell r="G480">
            <v>643.86</v>
          </cell>
        </row>
        <row r="481">
          <cell r="C481" t="str">
            <v>RDB3513610</v>
          </cell>
          <cell r="D481">
            <v>5056003777321</v>
          </cell>
          <cell r="E481" t="str">
            <v>RDB Burner</v>
          </cell>
          <cell r="F481" t="str">
            <v>Vortex 26-36kW, Vortex Combi 36kW (standard yellow flame models)</v>
          </cell>
          <cell r="G481" t="str">
            <v>POA</v>
          </cell>
        </row>
        <row r="482">
          <cell r="C482" t="str">
            <v>RDB3514104</v>
          </cell>
          <cell r="D482">
            <v>5056003777307</v>
          </cell>
          <cell r="E482" t="str">
            <v>RDB Burner</v>
          </cell>
          <cell r="F482" t="str">
            <v>Vortex 15-21kW, Vortex Combi 21kW (standard yellow flame models)</v>
          </cell>
          <cell r="G482" t="str">
            <v>POA</v>
          </cell>
        </row>
        <row r="483">
          <cell r="C483" t="str">
            <v>RDB3514204</v>
          </cell>
          <cell r="D483">
            <v>5056003777314</v>
          </cell>
          <cell r="E483" t="str">
            <v>RDB Burner</v>
          </cell>
          <cell r="F483" t="str">
            <v>Vortex 15-26kW, Vortex Combi 26kW (standard yellow flame models)</v>
          </cell>
          <cell r="G483" t="str">
            <v>POA</v>
          </cell>
        </row>
        <row r="484">
          <cell r="C484" t="str">
            <v>RDB3514501</v>
          </cell>
          <cell r="D484">
            <v>5056003777338</v>
          </cell>
          <cell r="E484" t="str">
            <v>RDB Burner</v>
          </cell>
          <cell r="F484" t="str">
            <v>Vortex 36-46kW (standard yellow flame models)</v>
          </cell>
          <cell r="G484" t="str">
            <v>POA</v>
          </cell>
        </row>
        <row r="485">
          <cell r="C485" t="str">
            <v>RDB3748920</v>
          </cell>
          <cell r="D485">
            <v>5056003777345</v>
          </cell>
          <cell r="E485" t="str">
            <v>RDB Burner</v>
          </cell>
          <cell r="F485" t="str">
            <v>Vortex 46-58kW (standard yellow flame models)</v>
          </cell>
          <cell r="G485" t="str">
            <v>POA</v>
          </cell>
        </row>
        <row r="486">
          <cell r="C486" t="str">
            <v>RDB3748921</v>
          </cell>
          <cell r="D486">
            <v>5056003777352</v>
          </cell>
          <cell r="E486" t="str">
            <v>RDB Burner</v>
          </cell>
          <cell r="F486" t="str">
            <v>Vortex 58-70kW (standard yellow flame models)</v>
          </cell>
          <cell r="G486" t="str">
            <v>POA</v>
          </cell>
        </row>
        <row r="487">
          <cell r="C487" t="str">
            <v>RDB3NEUTRALBURNER</v>
          </cell>
          <cell r="D487">
            <v>5056003732351</v>
          </cell>
          <cell r="E487" t="str">
            <v>RDB 3 Neutral burner</v>
          </cell>
          <cell r="F487" t="str">
            <v>Riello RDB Neutral</v>
          </cell>
          <cell r="G487">
            <v>808.41</v>
          </cell>
        </row>
        <row r="488">
          <cell r="C488" t="str">
            <v>RDB4NEUTRALBURNER</v>
          </cell>
          <cell r="D488">
            <v>5056003732368</v>
          </cell>
          <cell r="E488" t="str">
            <v>RDB 4 Neutral burner</v>
          </cell>
          <cell r="F488" t="str">
            <v>Riello RDB Neutral</v>
          </cell>
          <cell r="G488">
            <v>808.41</v>
          </cell>
        </row>
        <row r="489">
          <cell r="C489" t="str">
            <v>RDBBF20173342</v>
          </cell>
          <cell r="D489">
            <v>5056003780567</v>
          </cell>
          <cell r="E489" t="str">
            <v>RDB2.2 BG1 BLU IONO 21 BURNER POST 25.11.2021</v>
          </cell>
          <cell r="F489" t="str">
            <v>Vortex Blue 15-21kW (post 25.11.21)</v>
          </cell>
          <cell r="G489">
            <v>1148.55</v>
          </cell>
        </row>
        <row r="490">
          <cell r="C490" t="str">
            <v>RDBBF20173343</v>
          </cell>
          <cell r="D490">
            <v>5056003780574</v>
          </cell>
          <cell r="E490" t="str">
            <v>RDB2.2 BG2 BLU IONO 26 BURNER POST 24.06.2021</v>
          </cell>
          <cell r="F490" t="str">
            <v>Vortex Blue 21-26kW (post 24.06.21)</v>
          </cell>
          <cell r="G490">
            <v>1148.55</v>
          </cell>
        </row>
        <row r="491">
          <cell r="C491" t="str">
            <v>RDBBF20173345</v>
          </cell>
          <cell r="D491">
            <v>5056003780581</v>
          </cell>
          <cell r="E491" t="str">
            <v>RDB2.2 BG3 BLU IONO 36 BURNER POST 07.12.2021</v>
          </cell>
          <cell r="F491" t="str">
            <v>Vortex Blue 26-36kW (post 07.12.21)</v>
          </cell>
          <cell r="G491">
            <v>1148.55</v>
          </cell>
        </row>
        <row r="492">
          <cell r="C492" t="str">
            <v>WMB12/16LN</v>
          </cell>
          <cell r="D492">
            <v>5056003772777</v>
          </cell>
          <cell r="E492" t="str">
            <v>Ecoflam MAX1 LN Burner WM12/16</v>
          </cell>
          <cell r="F492" t="str">
            <v>Vortex Eco Wall hung 12-16kW</v>
          </cell>
          <cell r="G492" t="str">
            <v>POA</v>
          </cell>
        </row>
        <row r="493">
          <cell r="C493" t="str">
            <v>WMB16/21LN</v>
          </cell>
          <cell r="D493">
            <v>5056003772784</v>
          </cell>
          <cell r="E493" t="str">
            <v>Ecoflam MAX1 LN Burner WM16/21</v>
          </cell>
          <cell r="F493" t="str">
            <v>Vortex Eco Wall hung 16-21kW</v>
          </cell>
          <cell r="G493" t="str">
            <v>POA</v>
          </cell>
        </row>
        <row r="494">
          <cell r="C494" t="str">
            <v>EBS01</v>
          </cell>
          <cell r="D494">
            <v>5056003702422</v>
          </cell>
          <cell r="E494" t="str">
            <v>Oil Pump</v>
          </cell>
          <cell r="F494" t="str">
            <v>Ecoflam MAX1, MAX1 LN</v>
          </cell>
          <cell r="G494" t="str">
            <v>POA</v>
          </cell>
        </row>
        <row r="495">
          <cell r="C495" t="str">
            <v>EBS02</v>
          </cell>
          <cell r="D495">
            <v>5056003702439</v>
          </cell>
          <cell r="E495" t="str">
            <v>Coil</v>
          </cell>
          <cell r="F495" t="str">
            <v>Ecoflam MAX1</v>
          </cell>
          <cell r="G495" t="str">
            <v>POA</v>
          </cell>
        </row>
        <row r="496">
          <cell r="C496" t="str">
            <v>EBS03</v>
          </cell>
          <cell r="D496">
            <v>5056003704853</v>
          </cell>
          <cell r="E496" t="str">
            <v>Oil valve</v>
          </cell>
          <cell r="F496" t="str">
            <v>Ecoflam MAX1</v>
          </cell>
          <cell r="G496" t="str">
            <v>POA</v>
          </cell>
        </row>
        <row r="497">
          <cell r="C497" t="str">
            <v>EBS04</v>
          </cell>
          <cell r="D497">
            <v>5056003702446</v>
          </cell>
          <cell r="E497" t="str">
            <v>Drive coupling</v>
          </cell>
          <cell r="F497" t="str">
            <v>Ecoflam MAX1, MAX1 LN</v>
          </cell>
          <cell r="G497" t="str">
            <v>POA</v>
          </cell>
        </row>
        <row r="498">
          <cell r="C498" t="str">
            <v>EBS05</v>
          </cell>
          <cell r="D498">
            <v>5056003708028</v>
          </cell>
          <cell r="E498" t="str">
            <v>Nipple</v>
          </cell>
          <cell r="F498" t="str">
            <v>Ecoflam MAX1</v>
          </cell>
          <cell r="G498" t="str">
            <v>POA</v>
          </cell>
        </row>
        <row r="499">
          <cell r="C499" t="str">
            <v>EBS06</v>
          </cell>
          <cell r="D499">
            <v>5056003702453</v>
          </cell>
          <cell r="E499" t="str">
            <v>Oil line</v>
          </cell>
          <cell r="F499" t="str">
            <v>Ecoflam MAX1</v>
          </cell>
          <cell r="G499" t="str">
            <v>POA</v>
          </cell>
        </row>
        <row r="500">
          <cell r="C500" t="str">
            <v>EBS09</v>
          </cell>
          <cell r="D500">
            <v>5056003702460</v>
          </cell>
          <cell r="E500" t="str">
            <v>Motor</v>
          </cell>
          <cell r="F500" t="str">
            <v>Ecoflam MAX1</v>
          </cell>
          <cell r="G500" t="str">
            <v>POA</v>
          </cell>
        </row>
        <row r="501">
          <cell r="C501" t="str">
            <v>EBS10</v>
          </cell>
          <cell r="D501">
            <v>5056003702477</v>
          </cell>
          <cell r="E501" t="str">
            <v>3uF Capacitor</v>
          </cell>
          <cell r="F501" t="str">
            <v>Ecoflam MAX1</v>
          </cell>
          <cell r="G501" t="str">
            <v>POA</v>
          </cell>
        </row>
        <row r="502">
          <cell r="C502" t="str">
            <v>EBS43</v>
          </cell>
          <cell r="D502">
            <v>505003779813</v>
          </cell>
          <cell r="E502" t="str">
            <v>Continious operation transformer</v>
          </cell>
          <cell r="F502" t="str">
            <v>Ecoflam MAX1, MAX1 LN</v>
          </cell>
          <cell r="G502" t="str">
            <v>POA</v>
          </cell>
        </row>
        <row r="503">
          <cell r="C503" t="str">
            <v>EBS12</v>
          </cell>
          <cell r="D503">
            <v>5056003702491</v>
          </cell>
          <cell r="E503" t="str">
            <v>Control box base</v>
          </cell>
          <cell r="F503" t="str">
            <v>Ecoflam MAX1</v>
          </cell>
          <cell r="G503" t="str">
            <v>POA</v>
          </cell>
        </row>
        <row r="504">
          <cell r="C504" t="str">
            <v>EBS13</v>
          </cell>
          <cell r="D504">
            <v>5056003702507</v>
          </cell>
          <cell r="E504" t="str">
            <v>Control box</v>
          </cell>
          <cell r="F504" t="str">
            <v>Ecoflam MAX1</v>
          </cell>
          <cell r="G504" t="str">
            <v>POA</v>
          </cell>
        </row>
        <row r="505">
          <cell r="C505" t="str">
            <v>EBS13011117</v>
          </cell>
          <cell r="D505">
            <v>5056003735994</v>
          </cell>
          <cell r="E505" t="str">
            <v>CAPACITOR 4UF</v>
          </cell>
          <cell r="F505" t="str">
            <v>Ecoflam MAX1 LN</v>
          </cell>
          <cell r="G505" t="str">
            <v>POA</v>
          </cell>
        </row>
        <row r="506">
          <cell r="C506" t="str">
            <v>EBS14</v>
          </cell>
          <cell r="D506">
            <v>5056003702514</v>
          </cell>
          <cell r="E506" t="str">
            <v>Photocell</v>
          </cell>
          <cell r="F506" t="str">
            <v>Ecoflam MAX1</v>
          </cell>
          <cell r="G506" t="str">
            <v>POA</v>
          </cell>
        </row>
        <row r="507">
          <cell r="C507" t="str">
            <v>EBS17</v>
          </cell>
          <cell r="D507">
            <v>5056003702521</v>
          </cell>
          <cell r="E507" t="str">
            <v>Fan</v>
          </cell>
          <cell r="F507" t="str">
            <v>Ecoflam MAX1, MAX1 LN</v>
          </cell>
          <cell r="G507" t="str">
            <v>POA</v>
          </cell>
        </row>
        <row r="508">
          <cell r="C508" t="str">
            <v>EBS19</v>
          </cell>
          <cell r="D508">
            <v>5056003702538</v>
          </cell>
          <cell r="E508" t="str">
            <v>Combustion Head o-ring</v>
          </cell>
          <cell r="F508" t="str">
            <v>Ecoflam MAX1, MAX1 LN</v>
          </cell>
          <cell r="G508" t="str">
            <v>POA</v>
          </cell>
        </row>
        <row r="509">
          <cell r="C509" t="str">
            <v>EBS20</v>
          </cell>
          <cell r="D509">
            <v>5056003707946</v>
          </cell>
          <cell r="E509" t="str">
            <v xml:space="preserve">Cover Air Inlet </v>
          </cell>
          <cell r="F509" t="str">
            <v>Vortex WallHung 12-16kW</v>
          </cell>
          <cell r="G509" t="str">
            <v>POA</v>
          </cell>
        </row>
        <row r="510">
          <cell r="C510" t="str">
            <v>EBS20A</v>
          </cell>
          <cell r="D510">
            <v>5056003708165</v>
          </cell>
          <cell r="E510" t="str">
            <v xml:space="preserve">Cover Air Inlet </v>
          </cell>
          <cell r="F510" t="str">
            <v>Vortex WallHung 16-21kW</v>
          </cell>
          <cell r="G510" t="str">
            <v>POA</v>
          </cell>
        </row>
        <row r="511">
          <cell r="C511" t="str">
            <v>EBS21</v>
          </cell>
          <cell r="D511">
            <v>5056003706406</v>
          </cell>
          <cell r="E511" t="str">
            <v>HT Lead</v>
          </cell>
          <cell r="F511" t="str">
            <v>Ecoflam MAX1, MAX1 LN</v>
          </cell>
          <cell r="G511" t="str">
            <v>POA</v>
          </cell>
        </row>
        <row r="512">
          <cell r="C512" t="str">
            <v>EBS22</v>
          </cell>
          <cell r="D512">
            <v>5056003702545</v>
          </cell>
          <cell r="E512" t="str">
            <v>Electrodes</v>
          </cell>
          <cell r="F512" t="str">
            <v>Ecoflam MAX1</v>
          </cell>
          <cell r="G512" t="str">
            <v>POA</v>
          </cell>
        </row>
        <row r="513">
          <cell r="C513" t="str">
            <v>EBS23</v>
          </cell>
          <cell r="D513">
            <v>5056003702552</v>
          </cell>
          <cell r="E513" t="str">
            <v>Combustion Head</v>
          </cell>
          <cell r="F513" t="str">
            <v>Ecoflam MAX1</v>
          </cell>
          <cell r="G513" t="str">
            <v>POA</v>
          </cell>
        </row>
        <row r="514">
          <cell r="C514" t="str">
            <v>EBS26</v>
          </cell>
          <cell r="D514">
            <v>5056003702569</v>
          </cell>
          <cell r="E514" t="str">
            <v>Nozzle holder</v>
          </cell>
          <cell r="F514" t="str">
            <v>Ecoflam MAX1</v>
          </cell>
          <cell r="G514" t="str">
            <v>POA</v>
          </cell>
        </row>
        <row r="515">
          <cell r="C515" t="str">
            <v>EBS29</v>
          </cell>
          <cell r="D515">
            <v>5056003702576</v>
          </cell>
          <cell r="E515" t="str">
            <v>Flange</v>
          </cell>
          <cell r="F515" t="str">
            <v>Ecoflam MAX1, MAX1 LN</v>
          </cell>
          <cell r="G515" t="str">
            <v>POA</v>
          </cell>
        </row>
        <row r="516">
          <cell r="C516" t="str">
            <v>EBS30</v>
          </cell>
          <cell r="D516">
            <v>5056003702583</v>
          </cell>
          <cell r="E516" t="str">
            <v>Gasket</v>
          </cell>
          <cell r="F516" t="str">
            <v>Ecoflam MAX1, MAX1 LN</v>
          </cell>
          <cell r="G516" t="str">
            <v>POA</v>
          </cell>
        </row>
        <row r="517">
          <cell r="C517" t="str">
            <v>EBS33</v>
          </cell>
          <cell r="D517">
            <v>5056003704495</v>
          </cell>
          <cell r="E517" t="str">
            <v>Oil Pipe</v>
          </cell>
          <cell r="F517" t="str">
            <v>Ecoflam MAX1</v>
          </cell>
          <cell r="G517" t="str">
            <v>POA</v>
          </cell>
        </row>
        <row r="518">
          <cell r="C518" t="str">
            <v>EBS34</v>
          </cell>
          <cell r="D518">
            <v>5056003704587</v>
          </cell>
          <cell r="E518" t="str">
            <v>Pipe Gasket</v>
          </cell>
          <cell r="F518" t="str">
            <v>Ecoflam MAX1</v>
          </cell>
          <cell r="G518" t="str">
            <v>POA</v>
          </cell>
        </row>
        <row r="519">
          <cell r="C519" t="str">
            <v>EBS36</v>
          </cell>
          <cell r="D519">
            <v>5056003707939</v>
          </cell>
          <cell r="E519" t="str">
            <v>Snorkel Adaptor</v>
          </cell>
          <cell r="F519" t="str">
            <v>Ecoflam MAX1, MAX1 LN</v>
          </cell>
          <cell r="G519" t="str">
            <v>POA</v>
          </cell>
        </row>
        <row r="520">
          <cell r="C520" t="str">
            <v>EBS37</v>
          </cell>
          <cell r="D520">
            <v>5056003732917</v>
          </cell>
          <cell r="E520" t="str">
            <v>5uF capacitor</v>
          </cell>
          <cell r="F520" t="str">
            <v>Ecoflam MAX1</v>
          </cell>
          <cell r="G520" t="str">
            <v>POA</v>
          </cell>
        </row>
        <row r="521">
          <cell r="C521" t="str">
            <v>EBS38</v>
          </cell>
          <cell r="D521">
            <v>5056003734256</v>
          </cell>
          <cell r="E521" t="str">
            <v>4uF capacitor</v>
          </cell>
          <cell r="F521" t="str">
            <v>Ecoflam MAX1</v>
          </cell>
          <cell r="G521" t="str">
            <v>POA</v>
          </cell>
        </row>
        <row r="522">
          <cell r="C522" t="str">
            <v>EBS65325684</v>
          </cell>
          <cell r="D522">
            <v>5056003735819</v>
          </cell>
          <cell r="E522" t="str">
            <v>SET FILTER+SEAL</v>
          </cell>
          <cell r="F522" t="str">
            <v>Ecoflam MAX1 LN</v>
          </cell>
          <cell r="G522" t="str">
            <v>POA</v>
          </cell>
        </row>
        <row r="523">
          <cell r="C523" t="str">
            <v>EBS65326747</v>
          </cell>
          <cell r="D523">
            <v>5056003735826</v>
          </cell>
          <cell r="E523" t="str">
            <v xml:space="preserve">MOTOR EBR 75W </v>
          </cell>
          <cell r="F523" t="str">
            <v>Ecoflam MAX1 LN</v>
          </cell>
          <cell r="G523" t="str">
            <v>POA</v>
          </cell>
        </row>
        <row r="524">
          <cell r="C524" t="str">
            <v>EBS65327293</v>
          </cell>
          <cell r="D524">
            <v>5056003735833</v>
          </cell>
          <cell r="E524" t="str">
            <v xml:space="preserve">COIL DANFOSS BFP T85 </v>
          </cell>
          <cell r="F524" t="str">
            <v>Ecoflam MAX1 LN</v>
          </cell>
          <cell r="G524" t="str">
            <v>POA</v>
          </cell>
        </row>
        <row r="525">
          <cell r="C525" t="str">
            <v>EBS65327306</v>
          </cell>
          <cell r="D525">
            <v>5056003735840</v>
          </cell>
          <cell r="E525" t="str">
            <v>ELECTRODES (pack of 2)</v>
          </cell>
          <cell r="F525" t="str">
            <v>Ecoflam MAX1 LN</v>
          </cell>
          <cell r="G525" t="str">
            <v>POA</v>
          </cell>
        </row>
        <row r="526">
          <cell r="C526" t="str">
            <v>EBS65327402</v>
          </cell>
          <cell r="D526">
            <v>5056003735857</v>
          </cell>
          <cell r="E526" t="str">
            <v>HOSES NW 4X700</v>
          </cell>
          <cell r="F526" t="str">
            <v>Ecoflam MAX1 LN</v>
          </cell>
          <cell r="G526" t="str">
            <v>POA</v>
          </cell>
        </row>
        <row r="527">
          <cell r="C527" t="str">
            <v>EBS65327403</v>
          </cell>
          <cell r="D527">
            <v>5056003735864</v>
          </cell>
          <cell r="E527" t="str">
            <v xml:space="preserve">CONTROL BOX WITH CABLES (EBR RV-M2 15-0) </v>
          </cell>
          <cell r="F527" t="str">
            <v>Ecoflam MAX1 LN</v>
          </cell>
          <cell r="G527" t="str">
            <v>POA</v>
          </cell>
        </row>
        <row r="528">
          <cell r="C528" t="str">
            <v>EBS65327404</v>
          </cell>
          <cell r="D528">
            <v>5056003735871</v>
          </cell>
          <cell r="E528" t="str">
            <v>PHOTORESISTOR (QRB1B)</v>
          </cell>
          <cell r="F528" t="str">
            <v>Ecoflam MAX1 LN</v>
          </cell>
          <cell r="G528" t="str">
            <v>POA</v>
          </cell>
        </row>
        <row r="529">
          <cell r="C529" t="str">
            <v>EBS65327405</v>
          </cell>
          <cell r="D529">
            <v>5056003835888</v>
          </cell>
          <cell r="E529" t="str">
            <v xml:space="preserve">SUPPORT </v>
          </cell>
          <cell r="F529" t="str">
            <v>Ecoflam MAX1 LN</v>
          </cell>
          <cell r="G529" t="str">
            <v>POA</v>
          </cell>
        </row>
        <row r="530">
          <cell r="C530" t="str">
            <v>EBS65327406</v>
          </cell>
          <cell r="D530">
            <v>5056003735895</v>
          </cell>
          <cell r="E530" t="str">
            <v>PLUG</v>
          </cell>
          <cell r="F530" t="str">
            <v>Ecoflam MAX1 LN</v>
          </cell>
          <cell r="G530" t="str">
            <v>POA</v>
          </cell>
        </row>
        <row r="531">
          <cell r="C531" t="str">
            <v>EBS65327407</v>
          </cell>
          <cell r="D531">
            <v>5056003835901</v>
          </cell>
          <cell r="E531" t="str">
            <v xml:space="preserve">COVER AIR INLET </v>
          </cell>
          <cell r="F531" t="str">
            <v>Ecoflam MAX1 LN</v>
          </cell>
          <cell r="G531" t="str">
            <v>POA</v>
          </cell>
        </row>
        <row r="532">
          <cell r="C532" t="str">
            <v>EBS65327408</v>
          </cell>
          <cell r="D532">
            <v>5056003735918</v>
          </cell>
          <cell r="E532" t="str">
            <v>BLAST TUBE (WM12/16)</v>
          </cell>
          <cell r="F532" t="str">
            <v>Ecoflam MAX1 LN</v>
          </cell>
          <cell r="G532" t="str">
            <v>POA</v>
          </cell>
        </row>
        <row r="533">
          <cell r="C533" t="str">
            <v>EBS65327409</v>
          </cell>
          <cell r="D533">
            <v>5056003735925</v>
          </cell>
          <cell r="E533" t="str">
            <v>BLAST TUBE (WM16/21)</v>
          </cell>
          <cell r="F533" t="str">
            <v>Ecoflam MAX1 LN</v>
          </cell>
          <cell r="G533" t="str">
            <v>POA</v>
          </cell>
        </row>
        <row r="534">
          <cell r="C534" t="str">
            <v>EBS65327410</v>
          </cell>
          <cell r="D534">
            <v>5056003735932</v>
          </cell>
          <cell r="E534" t="str">
            <v xml:space="preserve">NOZZLE HOLDER </v>
          </cell>
          <cell r="F534" t="str">
            <v>Ecoflam MAX1 LN</v>
          </cell>
          <cell r="G534" t="str">
            <v>POA</v>
          </cell>
        </row>
        <row r="535">
          <cell r="C535" t="str">
            <v>EBS65327411</v>
          </cell>
          <cell r="D535">
            <v>5056003735949</v>
          </cell>
          <cell r="E535" t="str">
            <v>DIFFUSER (WM12/16)</v>
          </cell>
          <cell r="F535" t="str">
            <v>Ecoflam MAX1 LN</v>
          </cell>
          <cell r="G535" t="str">
            <v>POA</v>
          </cell>
        </row>
        <row r="536">
          <cell r="C536" t="str">
            <v>EBS65327412</v>
          </cell>
          <cell r="D536">
            <v>5056003735956</v>
          </cell>
          <cell r="E536" t="str">
            <v>DIFFUSER (WM16/21)</v>
          </cell>
          <cell r="F536" t="str">
            <v>Ecoflam MAX1 LN</v>
          </cell>
          <cell r="G536" t="str">
            <v>POA</v>
          </cell>
        </row>
        <row r="537">
          <cell r="C537" t="str">
            <v>EBS65327413</v>
          </cell>
          <cell r="D537">
            <v>5056003735963</v>
          </cell>
          <cell r="E537" t="str">
            <v xml:space="preserve">CONVEYOR </v>
          </cell>
          <cell r="F537" t="str">
            <v>Ecoflam MAX1 LN</v>
          </cell>
          <cell r="G537" t="str">
            <v>POA</v>
          </cell>
        </row>
        <row r="538">
          <cell r="C538" t="str">
            <v>EBS65327414</v>
          </cell>
          <cell r="D538">
            <v>5056003735970</v>
          </cell>
          <cell r="E538" t="str">
            <v xml:space="preserve">ROD </v>
          </cell>
          <cell r="F538" t="str">
            <v>Ecoflam MAX1 LN</v>
          </cell>
          <cell r="G538" t="str">
            <v>POA</v>
          </cell>
        </row>
        <row r="539">
          <cell r="C539" t="str">
            <v>EBS65327415</v>
          </cell>
          <cell r="D539">
            <v>5056003735987</v>
          </cell>
          <cell r="E539" t="str">
            <v xml:space="preserve">OIL PIPE </v>
          </cell>
          <cell r="F539" t="str">
            <v>Ecoflam MAX1 LN</v>
          </cell>
          <cell r="G539" t="str">
            <v>POA</v>
          </cell>
        </row>
        <row r="540">
          <cell r="C540" t="str">
            <v>WBS09F</v>
          </cell>
          <cell r="D540">
            <v>5060090377944</v>
          </cell>
          <cell r="E540" t="str">
            <v>4 Pin plug female for wall hung burner</v>
          </cell>
          <cell r="F540" t="str">
            <v>Vortex Eco Wall Hung 12-21KW</v>
          </cell>
          <cell r="G540">
            <v>12.23</v>
          </cell>
        </row>
        <row r="541">
          <cell r="C541" t="str">
            <v>WBS09M</v>
          </cell>
          <cell r="D541">
            <v>5060090377951</v>
          </cell>
          <cell r="E541" t="str">
            <v>4 Pin plug male for wall hung burner</v>
          </cell>
          <cell r="F541" t="str">
            <v>Vortex Eco Wall Hung 12-21KW</v>
          </cell>
          <cell r="G541">
            <v>12.23</v>
          </cell>
        </row>
        <row r="542">
          <cell r="C542" t="str">
            <v>EBS65327488</v>
          </cell>
          <cell r="D542">
            <v>5056003773842</v>
          </cell>
          <cell r="E542" t="str">
            <v>Burner gague Ecoflam MAX1 LN 12-16</v>
          </cell>
          <cell r="F542" t="str">
            <v>Ecoflam MAX1 LN</v>
          </cell>
          <cell r="G542">
            <v>18.53</v>
          </cell>
        </row>
        <row r="543">
          <cell r="C543" t="str">
            <v>EBS65327489</v>
          </cell>
          <cell r="D543">
            <v>5056003773859</v>
          </cell>
          <cell r="E543" t="str">
            <v>Burner gague Ecoflam MAX1 LN 16-21</v>
          </cell>
          <cell r="F543" t="str">
            <v>Ecoflam MAX1 LN</v>
          </cell>
          <cell r="G543">
            <v>18.53</v>
          </cell>
        </row>
        <row r="544">
          <cell r="C544" t="str">
            <v>ZLOWNOXGAUGE</v>
          </cell>
          <cell r="D544">
            <v>5056003735017</v>
          </cell>
          <cell r="E544" t="str">
            <v>Low Nox burner gauge</v>
          </cell>
          <cell r="F544" t="str">
            <v>Riellow Low Nox burners</v>
          </cell>
          <cell r="G544">
            <v>14.49</v>
          </cell>
        </row>
        <row r="545">
          <cell r="C545" t="str">
            <v>RBS36</v>
          </cell>
          <cell r="D545">
            <v>5056003700268</v>
          </cell>
          <cell r="E545" t="str">
            <v>Flexi Oil Hose 900mm 1/4 M X 3/8 F</v>
          </cell>
          <cell r="F545" t="str">
            <v>Riello G5, Riello RDB</v>
          </cell>
          <cell r="G545">
            <v>17.21</v>
          </cell>
        </row>
        <row r="546">
          <cell r="C546" t="str">
            <v>RBS36B10</v>
          </cell>
          <cell r="D546">
            <v>5056003772555</v>
          </cell>
          <cell r="E546" t="str">
            <v>Blast Tube Retaining Screw (pack of 10)</v>
          </cell>
          <cell r="F546" t="str">
            <v>Riello (all models)</v>
          </cell>
          <cell r="G546">
            <v>3.17</v>
          </cell>
        </row>
        <row r="547">
          <cell r="C547" t="str">
            <v>RBS86</v>
          </cell>
          <cell r="D547">
            <v>5056003702002</v>
          </cell>
          <cell r="E547" t="str">
            <v>Long Life Reinforced Oil Line (Rubber)</v>
          </cell>
          <cell r="F547" t="str">
            <v>Riello G5, Riello RDB</v>
          </cell>
          <cell r="G547">
            <v>25.01</v>
          </cell>
        </row>
        <row r="548">
          <cell r="C548" t="str">
            <v>Z20012046</v>
          </cell>
          <cell r="D548">
            <v>20012046</v>
          </cell>
          <cell r="E548" t="str">
            <v>Air intake - conventional flue</v>
          </cell>
          <cell r="F548" t="str">
            <v>Riello RDB BLU</v>
          </cell>
          <cell r="G548">
            <v>17.2</v>
          </cell>
        </row>
        <row r="549">
          <cell r="C549" t="str">
            <v>Z20018545</v>
          </cell>
          <cell r="D549">
            <v>20018545</v>
          </cell>
          <cell r="E549" t="str">
            <v>RDB 2.2 BX Electrodes (15-26kW)</v>
          </cell>
          <cell r="F549" t="str">
            <v>Riello RDB 2.2 BX</v>
          </cell>
          <cell r="G549">
            <v>15.81</v>
          </cell>
        </row>
        <row r="550">
          <cell r="C550" t="str">
            <v>Z20018693</v>
          </cell>
          <cell r="D550">
            <v>20018693</v>
          </cell>
          <cell r="E550" t="str">
            <v>RDB 2.2 BX Electrodes (26-46kW)</v>
          </cell>
          <cell r="F550" t="str">
            <v>Riello RDB 2.2 BX</v>
          </cell>
          <cell r="G550">
            <v>27.08</v>
          </cell>
        </row>
        <row r="551">
          <cell r="C551" t="str">
            <v>Z20029299</v>
          </cell>
          <cell r="D551">
            <v>20029299</v>
          </cell>
          <cell r="E551" t="str">
            <v>Oil Pump By-pass Plug (pack of 5)</v>
          </cell>
          <cell r="F551" t="str">
            <v>Riello G5, Riello RDB</v>
          </cell>
          <cell r="G551">
            <v>18.07</v>
          </cell>
        </row>
        <row r="552">
          <cell r="C552" t="str">
            <v>Z20030780</v>
          </cell>
          <cell r="D552">
            <v>20030780</v>
          </cell>
          <cell r="E552" t="str">
            <v>Riello R40 G3</v>
          </cell>
          <cell r="G552" t="str">
            <v>POA</v>
          </cell>
        </row>
        <row r="553">
          <cell r="C553" t="str">
            <v>Z20030953</v>
          </cell>
          <cell r="D553">
            <v>20030953</v>
          </cell>
          <cell r="E553" t="str">
            <v>Oil Pump</v>
          </cell>
          <cell r="F553" t="str">
            <v>Riello RDB, RDB BLU, RDB Neutral</v>
          </cell>
          <cell r="G553">
            <v>163.13999999999999</v>
          </cell>
        </row>
        <row r="554">
          <cell r="C554" t="str">
            <v>Z20031996</v>
          </cell>
          <cell r="D554">
            <v>20031996</v>
          </cell>
          <cell r="E554" t="str">
            <v>Oil Pump</v>
          </cell>
          <cell r="F554" t="str">
            <v>Riello G5</v>
          </cell>
          <cell r="G554">
            <v>159.68</v>
          </cell>
        </row>
        <row r="555">
          <cell r="C555" t="str">
            <v>Z20032135</v>
          </cell>
          <cell r="D555">
            <v>20032135</v>
          </cell>
          <cell r="E555" t="str">
            <v>Pump Pressure Regulator</v>
          </cell>
          <cell r="F555" t="str">
            <v>Riello RDB BLU</v>
          </cell>
          <cell r="G555">
            <v>6.38</v>
          </cell>
        </row>
        <row r="556">
          <cell r="C556" t="str">
            <v>Z20045862</v>
          </cell>
          <cell r="D556">
            <v>20045862</v>
          </cell>
          <cell r="E556" t="str">
            <v>Pre-heater jumper link (10 pack)</v>
          </cell>
          <cell r="F556" t="str">
            <v>Riello RDB BLU</v>
          </cell>
          <cell r="G556">
            <v>28.61</v>
          </cell>
        </row>
        <row r="557">
          <cell r="C557" t="str">
            <v>Z20071576</v>
          </cell>
          <cell r="D557">
            <v>20071576</v>
          </cell>
          <cell r="E557" t="str">
            <v>CAPACITOR P2 4.5µF</v>
          </cell>
          <cell r="F557" t="str">
            <v>Riello RDB, RDB BLU, RDB Neutral</v>
          </cell>
          <cell r="G557">
            <v>39.409999999999997</v>
          </cell>
        </row>
        <row r="558">
          <cell r="C558" t="str">
            <v>Z20071577</v>
          </cell>
          <cell r="D558">
            <v>20071577</v>
          </cell>
          <cell r="E558" t="str">
            <v>RDB MOTOR CW CAPACITOR P2 4.5µF</v>
          </cell>
          <cell r="F558" t="str">
            <v>Riello RDB, RDB BLU, RDB Neutral</v>
          </cell>
          <cell r="G558">
            <v>161.22999999999999</v>
          </cell>
        </row>
        <row r="559">
          <cell r="C559" t="str">
            <v>Z20081251</v>
          </cell>
          <cell r="D559">
            <v>20081251</v>
          </cell>
          <cell r="E559" t="str">
            <v>CAPACITOR P2 5µF</v>
          </cell>
          <cell r="F559" t="str">
            <v>Riello RDB</v>
          </cell>
          <cell r="G559">
            <v>28.12</v>
          </cell>
        </row>
        <row r="560">
          <cell r="C560" t="str">
            <v>Z20087025</v>
          </cell>
          <cell r="D560">
            <v>20087025</v>
          </cell>
          <cell r="E560" t="str">
            <v>Capacitor P2 4µF</v>
          </cell>
          <cell r="F560" t="str">
            <v>Riello G5</v>
          </cell>
          <cell r="G560">
            <v>22.4</v>
          </cell>
        </row>
        <row r="561">
          <cell r="C561" t="str">
            <v>Z20087035</v>
          </cell>
          <cell r="D561">
            <v>20087035</v>
          </cell>
          <cell r="E561" t="str">
            <v>CAPACITOR P2 4µF</v>
          </cell>
          <cell r="F561" t="str">
            <v>Riello RDB</v>
          </cell>
          <cell r="G561">
            <v>19.38</v>
          </cell>
        </row>
        <row r="562">
          <cell r="C562" t="str">
            <v>Z20094349</v>
          </cell>
          <cell r="D562">
            <v>20094349</v>
          </cell>
          <cell r="E562" t="str">
            <v>Air adjuster disc (21kW)</v>
          </cell>
          <cell r="F562" t="str">
            <v>Riello RDB BLU</v>
          </cell>
          <cell r="G562">
            <v>35.36</v>
          </cell>
        </row>
        <row r="563">
          <cell r="C563" t="str">
            <v>Z20094351</v>
          </cell>
          <cell r="D563">
            <v>20094351</v>
          </cell>
          <cell r="E563" t="str">
            <v>Control box cover</v>
          </cell>
          <cell r="F563" t="str">
            <v>Riello RDB BLU</v>
          </cell>
          <cell r="G563">
            <v>12.31</v>
          </cell>
        </row>
        <row r="564">
          <cell r="C564" t="str">
            <v>Z20094352</v>
          </cell>
          <cell r="D564">
            <v>20094352</v>
          </cell>
          <cell r="E564" t="str">
            <v>Flange (36kW)</v>
          </cell>
          <cell r="F564" t="str">
            <v>Riello RDB BLU</v>
          </cell>
          <cell r="G564">
            <v>28.78</v>
          </cell>
        </row>
        <row r="565">
          <cell r="C565" t="str">
            <v>Z20095126</v>
          </cell>
          <cell r="D565">
            <v>20095126</v>
          </cell>
          <cell r="E565" t="str">
            <v xml:space="preserve">UV Sensor </v>
          </cell>
          <cell r="F565" t="str">
            <v>Riello RDB BLU</v>
          </cell>
          <cell r="G565">
            <v>243</v>
          </cell>
        </row>
        <row r="566">
          <cell r="C566" t="str">
            <v>Z20105111</v>
          </cell>
          <cell r="D566">
            <v>20105111</v>
          </cell>
          <cell r="E566" t="str">
            <v>Ignition HT lead (pack of 2)</v>
          </cell>
          <cell r="F566" t="str">
            <v>Riello RDB BLU</v>
          </cell>
          <cell r="G566">
            <v>17.52</v>
          </cell>
        </row>
        <row r="567">
          <cell r="C567" t="str">
            <v>Z20117411</v>
          </cell>
          <cell r="D567">
            <v>20117411</v>
          </cell>
          <cell r="E567" t="str">
            <v>Gasket</v>
          </cell>
          <cell r="F567" t="str">
            <v>VTXBFBURNER36 &amp; ALL IONO BURNERS</v>
          </cell>
          <cell r="G567">
            <v>25.4</v>
          </cell>
        </row>
        <row r="568">
          <cell r="C568" t="str">
            <v>Z20117417</v>
          </cell>
          <cell r="D568">
            <v>20117417</v>
          </cell>
          <cell r="E568" t="str">
            <v>4-Pin Connector (26kW, 36kW)</v>
          </cell>
          <cell r="F568" t="str">
            <v>Riello RDB BLU</v>
          </cell>
          <cell r="G568">
            <v>43.3</v>
          </cell>
        </row>
        <row r="569">
          <cell r="C569" t="str">
            <v>Z20117432</v>
          </cell>
          <cell r="D569">
            <v>20117432</v>
          </cell>
          <cell r="E569" t="str">
            <v>4-Pin Connector (21kW)</v>
          </cell>
          <cell r="F569" t="str">
            <v>Riello RDB BLU</v>
          </cell>
          <cell r="G569">
            <v>42.01</v>
          </cell>
        </row>
        <row r="570">
          <cell r="C570" t="str">
            <v>Z20117435</v>
          </cell>
          <cell r="D570">
            <v>20117435</v>
          </cell>
          <cell r="E570" t="str">
            <v>Combustion Head - BG1 (up to 26kW)</v>
          </cell>
          <cell r="F570" t="str">
            <v>Riello RDB BLU</v>
          </cell>
          <cell r="G570">
            <v>294.67</v>
          </cell>
        </row>
        <row r="571">
          <cell r="C571" t="str">
            <v>Z20117437</v>
          </cell>
          <cell r="D571">
            <v>20117437</v>
          </cell>
          <cell r="E571" t="str">
            <v>Combustion Head - BG3 (over 26kW)</v>
          </cell>
          <cell r="F571" t="str">
            <v>Riello RDB BLU</v>
          </cell>
          <cell r="G571">
            <v>320.20999999999998</v>
          </cell>
        </row>
        <row r="572">
          <cell r="C572" t="str">
            <v>Z20117455</v>
          </cell>
          <cell r="D572">
            <v>20117455</v>
          </cell>
          <cell r="E572" t="str">
            <v>Ignition Electrodes</v>
          </cell>
          <cell r="F572" t="str">
            <v>Riello RDB BLU</v>
          </cell>
          <cell r="G572">
            <v>102.54</v>
          </cell>
        </row>
        <row r="573">
          <cell r="C573" t="str">
            <v>Z20117459</v>
          </cell>
          <cell r="D573">
            <v>20117459</v>
          </cell>
          <cell r="E573" t="str">
            <v>Nozzle Holder (21kW, 26kW)</v>
          </cell>
          <cell r="F573" t="str">
            <v>Riello RDB BLU</v>
          </cell>
          <cell r="G573">
            <v>42.01</v>
          </cell>
        </row>
        <row r="574">
          <cell r="C574" t="str">
            <v>Z20117461</v>
          </cell>
          <cell r="D574">
            <v>20117461</v>
          </cell>
          <cell r="E574" t="str">
            <v>Nozzle Holder (36kW)</v>
          </cell>
          <cell r="F574" t="str">
            <v>Riello RDB BLU</v>
          </cell>
          <cell r="G574">
            <v>49.76</v>
          </cell>
        </row>
        <row r="575">
          <cell r="C575" t="str">
            <v>Z20125427</v>
          </cell>
          <cell r="D575">
            <v>20125427</v>
          </cell>
          <cell r="E575" t="str">
            <v>Collar BG1 (21kW)</v>
          </cell>
          <cell r="F575" t="str">
            <v>Riello RDB BLU</v>
          </cell>
          <cell r="G575">
            <v>50.37</v>
          </cell>
        </row>
        <row r="576">
          <cell r="C576" t="str">
            <v>Z20125428</v>
          </cell>
          <cell r="D576">
            <v>20125428</v>
          </cell>
          <cell r="E576" t="str">
            <v>Collar BG2 &amp; BG3 (26kW, 36kW)</v>
          </cell>
          <cell r="F576" t="str">
            <v>Riello RDB BLU</v>
          </cell>
          <cell r="G576">
            <v>55.46</v>
          </cell>
        </row>
        <row r="577">
          <cell r="C577" t="str">
            <v>Z20117488</v>
          </cell>
          <cell r="D577">
            <v>20117488</v>
          </cell>
          <cell r="E577" t="str">
            <v>Oil Pipe</v>
          </cell>
          <cell r="F577" t="str">
            <v>Riello RDB BLU</v>
          </cell>
          <cell r="G577">
            <v>22.84</v>
          </cell>
        </row>
        <row r="578">
          <cell r="C578" t="str">
            <v>Z20117497</v>
          </cell>
          <cell r="D578">
            <v>20117497</v>
          </cell>
          <cell r="E578" t="str">
            <v>Cover</v>
          </cell>
          <cell r="F578" t="str">
            <v>Riello RDB BLU</v>
          </cell>
          <cell r="G578">
            <v>47.58</v>
          </cell>
        </row>
        <row r="579">
          <cell r="C579" t="str">
            <v>Z20117504</v>
          </cell>
          <cell r="D579">
            <v>20117504</v>
          </cell>
          <cell r="E579" t="str">
            <v>Air baffle (21kW, 26kW)</v>
          </cell>
          <cell r="F579" t="str">
            <v>Riello RDB BLU</v>
          </cell>
          <cell r="G579">
            <v>21.65</v>
          </cell>
        </row>
        <row r="580">
          <cell r="C580" t="str">
            <v>Z20117506</v>
          </cell>
          <cell r="D580">
            <v>20117506</v>
          </cell>
          <cell r="E580" t="str">
            <v>Air baffle (36kW)</v>
          </cell>
          <cell r="F580" t="str">
            <v>Riello RDB BLU</v>
          </cell>
          <cell r="G580">
            <v>25.33</v>
          </cell>
        </row>
        <row r="581">
          <cell r="C581" t="str">
            <v>Z20117694</v>
          </cell>
          <cell r="D581">
            <v>20117694</v>
          </cell>
          <cell r="E581" t="str">
            <v xml:space="preserve">Control Box  </v>
          </cell>
          <cell r="F581" t="str">
            <v>Riello RDB BLU</v>
          </cell>
          <cell r="G581">
            <v>225.65</v>
          </cell>
        </row>
        <row r="582">
          <cell r="C582" t="str">
            <v>Z20119098</v>
          </cell>
          <cell r="D582">
            <v>20119098</v>
          </cell>
          <cell r="E582" t="str">
            <v>RDB cover fixings</v>
          </cell>
          <cell r="F582" t="str">
            <v>All Riello burners</v>
          </cell>
          <cell r="G582">
            <v>10.85</v>
          </cell>
        </row>
        <row r="583">
          <cell r="C583" t="str">
            <v>Z20120985</v>
          </cell>
          <cell r="D583">
            <v>20120985</v>
          </cell>
          <cell r="E583" t="str">
            <v>Combustion Head - BG2 (26kW)</v>
          </cell>
          <cell r="F583" t="str">
            <v>Riello RDB BLU</v>
          </cell>
          <cell r="G583">
            <v>401.72</v>
          </cell>
        </row>
        <row r="584">
          <cell r="C584" t="str">
            <v>Z20132526</v>
          </cell>
          <cell r="D584">
            <v>3008647</v>
          </cell>
          <cell r="E584" t="str">
            <v>Photodiode (Analogue)</v>
          </cell>
          <cell r="F584" t="str">
            <v>Riello RDB</v>
          </cell>
          <cell r="G584">
            <v>47.41</v>
          </cell>
        </row>
        <row r="585">
          <cell r="C585" t="str">
            <v>Z20132550</v>
          </cell>
          <cell r="D585">
            <v>3008646</v>
          </cell>
          <cell r="E585" t="str">
            <v>Photodiode (Digital)</v>
          </cell>
          <cell r="F585" t="str">
            <v>Riello RDB</v>
          </cell>
          <cell r="G585">
            <v>47.07</v>
          </cell>
        </row>
        <row r="586">
          <cell r="C586" t="str">
            <v>Z20132573</v>
          </cell>
          <cell r="D586">
            <v>3002280</v>
          </cell>
          <cell r="E586" t="str">
            <v>Photocell</v>
          </cell>
          <cell r="F586" t="str">
            <v>Riello G5</v>
          </cell>
          <cell r="G586">
            <v>37.08</v>
          </cell>
        </row>
        <row r="587">
          <cell r="C587" t="str">
            <v>Z20133586</v>
          </cell>
          <cell r="D587">
            <v>20133586</v>
          </cell>
          <cell r="E587" t="str">
            <v>RDB 2.2 BX Diffiser Disc (26-46kW)</v>
          </cell>
          <cell r="F587" t="str">
            <v>Riello RDB 2.2 BX</v>
          </cell>
          <cell r="G587">
            <v>61.59</v>
          </cell>
        </row>
        <row r="588">
          <cell r="C588" t="str">
            <v>Z20133588</v>
          </cell>
          <cell r="D588">
            <v>20133588</v>
          </cell>
          <cell r="E588" t="str">
            <v>RDB 2.2 BX Nozzle Holder</v>
          </cell>
          <cell r="F588" t="str">
            <v>Riello RDB 2.2 BX</v>
          </cell>
          <cell r="G588">
            <v>88.69</v>
          </cell>
        </row>
        <row r="589">
          <cell r="C589" t="str">
            <v>Z20134372</v>
          </cell>
          <cell r="D589">
            <v>20134372</v>
          </cell>
          <cell r="E589" t="str">
            <v>RDB 2.2 BX Knob</v>
          </cell>
          <cell r="F589" t="str">
            <v>Riello RDB 2.2 BX</v>
          </cell>
          <cell r="G589">
            <v>18.36</v>
          </cell>
        </row>
        <row r="590">
          <cell r="C590" t="str">
            <v>Z20139837</v>
          </cell>
          <cell r="D590">
            <v>20139837</v>
          </cell>
          <cell r="E590" t="str">
            <v>RDB 2.2 BX Diffiser Disc (15-26kW)</v>
          </cell>
          <cell r="F590" t="str">
            <v>Riello RDB 2.2 BX</v>
          </cell>
          <cell r="G590">
            <v>56.08</v>
          </cell>
        </row>
        <row r="591">
          <cell r="C591" t="str">
            <v>Z20147320</v>
          </cell>
          <cell r="D591">
            <v>20147320</v>
          </cell>
          <cell r="E591" t="str">
            <v>RDB 2.2 BX Blast tube</v>
          </cell>
          <cell r="F591" t="str">
            <v>Riello RDB 2.2 BX</v>
          </cell>
          <cell r="G591">
            <v>138.32</v>
          </cell>
        </row>
        <row r="592">
          <cell r="C592" t="str">
            <v>Z2880583</v>
          </cell>
          <cell r="D592">
            <v>2880583</v>
          </cell>
          <cell r="E592" t="str">
            <v>BURNER SOCKET post Dec 2014</v>
          </cell>
          <cell r="F592" t="str">
            <v>Riello RDB (All Combis post Dec 2014)</v>
          </cell>
          <cell r="G592" t="str">
            <v>POA</v>
          </cell>
        </row>
        <row r="593">
          <cell r="C593" t="str">
            <v>Z2880584</v>
          </cell>
          <cell r="D593">
            <v>2880584</v>
          </cell>
          <cell r="E593" t="str">
            <v>BURNER PLUG post Dec 2014</v>
          </cell>
          <cell r="F593" t="str">
            <v>Riello RDB (All Combis post Dec 2014)</v>
          </cell>
          <cell r="G593">
            <v>13.26</v>
          </cell>
        </row>
        <row r="594">
          <cell r="C594" t="str">
            <v>Z3000439</v>
          </cell>
          <cell r="D594">
            <v>3000439</v>
          </cell>
          <cell r="E594" t="str">
            <v>Oil Pump Seal</v>
          </cell>
          <cell r="F594" t="str">
            <v>Riello G5, Riello RDB</v>
          </cell>
          <cell r="G594">
            <v>24.09</v>
          </cell>
        </row>
        <row r="595">
          <cell r="C595" t="str">
            <v>Z3000443</v>
          </cell>
          <cell r="D595">
            <v>3000443</v>
          </cell>
          <cell r="E595" t="str">
            <v>Drive Coupling (10 pack)</v>
          </cell>
          <cell r="F595" t="str">
            <v>Riello G5, Riello RDB, RDB BLU, RDB Neutral</v>
          </cell>
          <cell r="G595">
            <v>10.24</v>
          </cell>
        </row>
        <row r="596">
          <cell r="C596" t="str">
            <v>Z3000681</v>
          </cell>
          <cell r="D596">
            <v>3000681</v>
          </cell>
          <cell r="E596" t="str">
            <v>Air Damper Regulator</v>
          </cell>
          <cell r="F596" t="str">
            <v>Riello G5</v>
          </cell>
          <cell r="G596">
            <v>15.54</v>
          </cell>
        </row>
        <row r="597">
          <cell r="C597" t="str">
            <v>Z3001156</v>
          </cell>
          <cell r="D597">
            <v>3001156</v>
          </cell>
          <cell r="E597" t="str">
            <v>Control Box 530E</v>
          </cell>
          <cell r="F597" t="str">
            <v>Riello G5</v>
          </cell>
          <cell r="G597">
            <v>140.35</v>
          </cell>
        </row>
        <row r="598">
          <cell r="C598" t="str">
            <v>Z3002278</v>
          </cell>
          <cell r="D598">
            <v>3002278</v>
          </cell>
          <cell r="E598" t="str">
            <v>Control Box Base</v>
          </cell>
          <cell r="F598" t="str">
            <v>Riello G5</v>
          </cell>
          <cell r="G598">
            <v>16.600000000000001</v>
          </cell>
        </row>
        <row r="599">
          <cell r="C599" t="str">
            <v>Z3002279</v>
          </cell>
          <cell r="D599">
            <v>3002279</v>
          </cell>
          <cell r="E599" t="str">
            <v>Solenoid Coil</v>
          </cell>
          <cell r="F599" t="str">
            <v>Riello G5</v>
          </cell>
          <cell r="G599">
            <v>21.2</v>
          </cell>
        </row>
        <row r="600">
          <cell r="C600" t="str">
            <v>Z3002423</v>
          </cell>
          <cell r="D600">
            <v>3002423</v>
          </cell>
          <cell r="E600" t="str">
            <v>Combustion Head T2</v>
          </cell>
          <cell r="F600" t="str">
            <v>Riello RDB</v>
          </cell>
          <cell r="G600">
            <v>46.32</v>
          </cell>
        </row>
        <row r="601">
          <cell r="C601" t="str">
            <v>Z3002447</v>
          </cell>
          <cell r="D601">
            <v>3002447</v>
          </cell>
          <cell r="E601" t="str">
            <v>Combustion Head T3</v>
          </cell>
          <cell r="F601" t="str">
            <v>Riello RDB</v>
          </cell>
          <cell r="G601">
            <v>44.58</v>
          </cell>
        </row>
        <row r="602">
          <cell r="C602" t="str">
            <v>Z3002507</v>
          </cell>
          <cell r="D602">
            <v>3002507</v>
          </cell>
          <cell r="E602" t="str">
            <v>Combustion Head T1</v>
          </cell>
          <cell r="F602" t="str">
            <v>Riello RDB</v>
          </cell>
          <cell r="G602">
            <v>47.41</v>
          </cell>
        </row>
        <row r="603">
          <cell r="C603" t="str">
            <v>Z3002533</v>
          </cell>
          <cell r="D603">
            <v>3002533</v>
          </cell>
          <cell r="E603" t="str">
            <v>Combustion Head T5</v>
          </cell>
          <cell r="F603" t="str">
            <v>Riello RDB</v>
          </cell>
          <cell r="G603">
            <v>47.96</v>
          </cell>
        </row>
        <row r="604">
          <cell r="C604" t="str">
            <v>Z3002570</v>
          </cell>
          <cell r="D604">
            <v>3002570</v>
          </cell>
          <cell r="E604" t="str">
            <v>Nozzle Holder 3.2 RDB</v>
          </cell>
          <cell r="F604" t="str">
            <v>Riello RDB3.2</v>
          </cell>
          <cell r="G604">
            <v>23.35</v>
          </cell>
        </row>
        <row r="605">
          <cell r="C605" t="str">
            <v>Z3002571</v>
          </cell>
          <cell r="D605">
            <v>3002571</v>
          </cell>
          <cell r="E605" t="str">
            <v>Diffuser Disc - RDB 3.2</v>
          </cell>
          <cell r="F605" t="str">
            <v>Riello RDB3.2</v>
          </cell>
          <cell r="G605">
            <v>56.62</v>
          </cell>
        </row>
        <row r="606">
          <cell r="C606" t="str">
            <v>Z3002572</v>
          </cell>
          <cell r="D606">
            <v>3002572</v>
          </cell>
          <cell r="E606" t="str">
            <v>Combustion Head 3.2 RDB</v>
          </cell>
          <cell r="F606" t="str">
            <v>Riello RDB3.2</v>
          </cell>
          <cell r="G606">
            <v>88.62</v>
          </cell>
        </row>
        <row r="607">
          <cell r="C607" t="str">
            <v>Z3003602</v>
          </cell>
          <cell r="D607">
            <v>3003602</v>
          </cell>
          <cell r="E607" t="str">
            <v>Adaptor Oil Line 3/8 x 1/4</v>
          </cell>
          <cell r="F607" t="str">
            <v>Riello G5, Riello RDB</v>
          </cell>
          <cell r="G607">
            <v>5.76</v>
          </cell>
        </row>
        <row r="608">
          <cell r="C608" t="str">
            <v>Z3005708</v>
          </cell>
          <cell r="D608">
            <v>3005708</v>
          </cell>
          <cell r="E608" t="str">
            <v>Fan Impeller</v>
          </cell>
          <cell r="F608" t="str">
            <v>Riello G5, Riello RDB</v>
          </cell>
          <cell r="G608">
            <v>26.8</v>
          </cell>
        </row>
        <row r="609">
          <cell r="C609" t="str">
            <v>Z3005711</v>
          </cell>
          <cell r="D609">
            <v>3005711</v>
          </cell>
          <cell r="E609" t="str">
            <v>ELECTRODE (R40, G7, G10)</v>
          </cell>
          <cell r="F609" t="str">
            <v xml:space="preserve">R40, G7, G10 Burner </v>
          </cell>
          <cell r="G609">
            <v>23.05</v>
          </cell>
        </row>
        <row r="610">
          <cell r="C610" t="str">
            <v>Z3005719</v>
          </cell>
          <cell r="D610">
            <v>3005719</v>
          </cell>
          <cell r="E610" t="str">
            <v>Pump Filter</v>
          </cell>
          <cell r="F610" t="str">
            <v>Riello G5</v>
          </cell>
          <cell r="G610">
            <v>4.17</v>
          </cell>
        </row>
        <row r="611">
          <cell r="C611" t="str">
            <v>Z3005721</v>
          </cell>
          <cell r="D611">
            <v>3005721</v>
          </cell>
          <cell r="E611" t="str">
            <v>ELECTRODES (R40, G3, G5)</v>
          </cell>
          <cell r="F611" t="str">
            <v xml:space="preserve">R40, G3, G5 Burner </v>
          </cell>
          <cell r="G611">
            <v>24.12</v>
          </cell>
        </row>
        <row r="612">
          <cell r="C612" t="str">
            <v>Z3005724</v>
          </cell>
          <cell r="D612">
            <v>3005724</v>
          </cell>
          <cell r="E612" t="str">
            <v>Nozzle holder</v>
          </cell>
          <cell r="F612" t="str">
            <v>Riello G5</v>
          </cell>
          <cell r="G612">
            <v>12.86</v>
          </cell>
        </row>
        <row r="613">
          <cell r="C613" t="str">
            <v>Z3005775</v>
          </cell>
          <cell r="D613">
            <v>3005775</v>
          </cell>
          <cell r="E613" t="str">
            <v>Combustion Head G2 Compact</v>
          </cell>
          <cell r="F613" t="str">
            <v>Riello G5</v>
          </cell>
          <cell r="G613">
            <v>62.79</v>
          </cell>
        </row>
        <row r="614">
          <cell r="C614" t="str">
            <v>Z3005787</v>
          </cell>
          <cell r="D614">
            <v>3005787</v>
          </cell>
          <cell r="E614" t="str">
            <v>Gasket Flange</v>
          </cell>
          <cell r="F614" t="str">
            <v>Riello G5, Riello RDB, Riello RDB BLU 21 &amp;26</v>
          </cell>
          <cell r="G614">
            <v>9.77</v>
          </cell>
        </row>
        <row r="615">
          <cell r="C615" t="str">
            <v>Z3005788</v>
          </cell>
          <cell r="D615">
            <v>3005788</v>
          </cell>
          <cell r="E615" t="str">
            <v xml:space="preserve">Fan </v>
          </cell>
          <cell r="F615" t="str">
            <v>Riello RDB, RDB BLU, RDB Neutral</v>
          </cell>
          <cell r="G615">
            <v>24.94</v>
          </cell>
        </row>
        <row r="616">
          <cell r="C616" t="str">
            <v>Z3005795</v>
          </cell>
          <cell r="D616">
            <v>3005795</v>
          </cell>
          <cell r="E616" t="str">
            <v>Gasket - RDB 3.2</v>
          </cell>
          <cell r="F616" t="str">
            <v>Riello RDB3.2</v>
          </cell>
          <cell r="G616">
            <v>10.06</v>
          </cell>
        </row>
        <row r="617">
          <cell r="C617" t="str">
            <v>Z3005799</v>
          </cell>
          <cell r="D617">
            <v>3005799</v>
          </cell>
          <cell r="E617" t="str">
            <v>Fan Impeller RDB 3.2</v>
          </cell>
          <cell r="F617" t="str">
            <v>Riello RDB3.2</v>
          </cell>
          <cell r="G617">
            <v>52.77</v>
          </cell>
        </row>
        <row r="618">
          <cell r="C618" t="str">
            <v>Z3005971</v>
          </cell>
          <cell r="D618">
            <v>3005971</v>
          </cell>
          <cell r="E618" t="str">
            <v>Flange Gasket</v>
          </cell>
          <cell r="F618" t="str">
            <v>Riello G5</v>
          </cell>
          <cell r="G618">
            <v>10.01</v>
          </cell>
        </row>
        <row r="619">
          <cell r="C619" t="str">
            <v>Z3006001</v>
          </cell>
          <cell r="D619">
            <v>3006001</v>
          </cell>
          <cell r="E619" t="str">
            <v>Combustion Head G3B 50/90</v>
          </cell>
          <cell r="F619" t="str">
            <v>Riello G5 (50/90)</v>
          </cell>
          <cell r="G619">
            <v>41.43</v>
          </cell>
        </row>
        <row r="620">
          <cell r="C620" t="str">
            <v>Z3006384</v>
          </cell>
          <cell r="D620">
            <v>3006384</v>
          </cell>
          <cell r="E620" t="str">
            <v>Thick Flange (8mm)</v>
          </cell>
          <cell r="F620" t="str">
            <v>Riello RDB, RDB BLU 21 &amp; 26, RDB Neutral</v>
          </cell>
          <cell r="G620">
            <v>17.14</v>
          </cell>
        </row>
        <row r="621">
          <cell r="C621" t="str">
            <v>Z3006552</v>
          </cell>
          <cell r="D621">
            <v>3006552</v>
          </cell>
          <cell r="E621" t="str">
            <v>Electrode Clamp/Screw (10 pack)</v>
          </cell>
          <cell r="F621" t="str">
            <v>Riello G5, Riello RDB</v>
          </cell>
          <cell r="G621">
            <v>25.43</v>
          </cell>
        </row>
        <row r="622">
          <cell r="C622" t="str">
            <v>Z3006553</v>
          </cell>
          <cell r="D622">
            <v>3006553</v>
          </cell>
          <cell r="E622" t="str">
            <v>Solenoid Cover &amp; Nut</v>
          </cell>
          <cell r="F622" t="str">
            <v>Riello G5</v>
          </cell>
          <cell r="G622">
            <v>8.66</v>
          </cell>
        </row>
        <row r="623">
          <cell r="C623" t="str">
            <v>Z3006911</v>
          </cell>
          <cell r="D623">
            <v>3006911</v>
          </cell>
          <cell r="E623" t="str">
            <v>Short Hydraulic Ram</v>
          </cell>
          <cell r="F623" t="str">
            <v>Riello G5</v>
          </cell>
          <cell r="G623">
            <v>37.56</v>
          </cell>
        </row>
        <row r="624">
          <cell r="C624" t="str">
            <v>Z3007132</v>
          </cell>
          <cell r="D624">
            <v>3007132</v>
          </cell>
          <cell r="E624" t="str">
            <v>O-Rings (10 pack)</v>
          </cell>
          <cell r="F624" t="str">
            <v>Riello G5, Riello RDB</v>
          </cell>
          <cell r="G624">
            <v>32.67</v>
          </cell>
        </row>
        <row r="625">
          <cell r="C625" t="str">
            <v>Z3007169</v>
          </cell>
          <cell r="D625">
            <v>3007169</v>
          </cell>
          <cell r="E625" t="str">
            <v>O-Ring Regulator (10 pack)</v>
          </cell>
          <cell r="F625" t="str">
            <v>Riello G5</v>
          </cell>
          <cell r="G625">
            <v>11.3</v>
          </cell>
        </row>
        <row r="626">
          <cell r="C626" t="str">
            <v>Z3007175</v>
          </cell>
          <cell r="D626">
            <v>3007175</v>
          </cell>
          <cell r="E626" t="str">
            <v>Oil Pump O-Rings (10 pack)</v>
          </cell>
          <cell r="F626" t="str">
            <v>Riello G5, Riello RDB, RDB BLU, RDB Neutral</v>
          </cell>
          <cell r="G626">
            <v>20.61</v>
          </cell>
        </row>
        <row r="627">
          <cell r="C627" t="str">
            <v>Z3007176</v>
          </cell>
          <cell r="D627">
            <v>3007176</v>
          </cell>
          <cell r="E627" t="str">
            <v>O-ring Solenoid Valve (10 pack)</v>
          </cell>
          <cell r="F627" t="str">
            <v>Riello RDB</v>
          </cell>
          <cell r="G627">
            <v>11.74</v>
          </cell>
        </row>
        <row r="628">
          <cell r="C628" t="str">
            <v>Z3007178</v>
          </cell>
          <cell r="D628">
            <v>3007178</v>
          </cell>
          <cell r="E628" t="str">
            <v>Combustion Head O-Ring (10 pack)</v>
          </cell>
          <cell r="F628" t="str">
            <v>Riello G5, Riello RDB</v>
          </cell>
          <cell r="G628">
            <v>12.8</v>
          </cell>
        </row>
        <row r="629">
          <cell r="C629" t="str">
            <v>Z3007202</v>
          </cell>
          <cell r="D629">
            <v>3007202</v>
          </cell>
          <cell r="E629" t="str">
            <v>Oil pressure Regulator</v>
          </cell>
          <cell r="F629" t="str">
            <v>Riello G5</v>
          </cell>
          <cell r="G629">
            <v>8.36</v>
          </cell>
        </row>
        <row r="630">
          <cell r="C630" t="str">
            <v>Z3007208</v>
          </cell>
          <cell r="D630">
            <v>3007208</v>
          </cell>
          <cell r="E630" t="str">
            <v>Air Intake</v>
          </cell>
          <cell r="F630" t="str">
            <v>Riello G5</v>
          </cell>
          <cell r="G630">
            <v>36.11</v>
          </cell>
        </row>
        <row r="631">
          <cell r="C631" t="str">
            <v>Z3007502</v>
          </cell>
          <cell r="D631">
            <v>3007502</v>
          </cell>
          <cell r="E631" t="str">
            <v>Oil Pump Outlet Tube</v>
          </cell>
          <cell r="F631" t="str">
            <v>Riello G5</v>
          </cell>
          <cell r="G631">
            <v>16.149999999999999</v>
          </cell>
        </row>
        <row r="632">
          <cell r="C632" t="str">
            <v>Z3007503</v>
          </cell>
          <cell r="D632">
            <v>3007503</v>
          </cell>
          <cell r="E632" t="str">
            <v>Electrode Assembly</v>
          </cell>
          <cell r="F632" t="str">
            <v>Riello G5</v>
          </cell>
          <cell r="G632">
            <v>24.32</v>
          </cell>
        </row>
        <row r="633">
          <cell r="C633" t="str">
            <v>Z3007513</v>
          </cell>
          <cell r="D633">
            <v>3007513</v>
          </cell>
          <cell r="E633" t="str">
            <v>Electrode Assembly</v>
          </cell>
          <cell r="F633" t="str">
            <v>Riello RDB</v>
          </cell>
          <cell r="G633">
            <v>19.32</v>
          </cell>
        </row>
        <row r="634">
          <cell r="C634" t="str">
            <v>Z3007623</v>
          </cell>
          <cell r="D634">
            <v>3007623</v>
          </cell>
          <cell r="E634" t="str">
            <v>Tube Assembly Pump Inlet</v>
          </cell>
          <cell r="F634" t="str">
            <v>Riello G5</v>
          </cell>
          <cell r="G634">
            <v>26.74</v>
          </cell>
        </row>
        <row r="635">
          <cell r="C635" t="str">
            <v>Z3007629</v>
          </cell>
          <cell r="D635">
            <v>3007629</v>
          </cell>
          <cell r="E635" t="str">
            <v>O-Ring Collar</v>
          </cell>
          <cell r="F635" t="str">
            <v>Riello G5</v>
          </cell>
          <cell r="G635">
            <v>6.06</v>
          </cell>
        </row>
        <row r="636">
          <cell r="C636" t="str">
            <v>Z3007630</v>
          </cell>
          <cell r="D636">
            <v>3007630</v>
          </cell>
          <cell r="E636" t="str">
            <v>Burner Cover Seal</v>
          </cell>
          <cell r="F636" t="str">
            <v>Riello G5</v>
          </cell>
          <cell r="G636">
            <v>6.39</v>
          </cell>
        </row>
        <row r="637">
          <cell r="C637" t="str">
            <v>Z3007631</v>
          </cell>
          <cell r="D637">
            <v>3007631</v>
          </cell>
          <cell r="E637" t="str">
            <v>Combustion Head G3S 110/140</v>
          </cell>
          <cell r="F637" t="str">
            <v>Riello G5 (110/140)</v>
          </cell>
          <cell r="G637">
            <v>48.39</v>
          </cell>
        </row>
        <row r="638">
          <cell r="C638" t="str">
            <v>Z3007796</v>
          </cell>
          <cell r="D638">
            <v>3007796</v>
          </cell>
          <cell r="E638" t="str">
            <v>Collar Burner Head Mounting</v>
          </cell>
          <cell r="F638" t="str">
            <v>Riello G5</v>
          </cell>
          <cell r="G638">
            <v>21.86</v>
          </cell>
        </row>
        <row r="639">
          <cell r="C639" t="str">
            <v>Z3007798</v>
          </cell>
          <cell r="D639">
            <v>3007798</v>
          </cell>
          <cell r="E639" t="str">
            <v>Thin Mounting Flange</v>
          </cell>
          <cell r="F639" t="str">
            <v>Riello G5, Riello RDB</v>
          </cell>
          <cell r="G639">
            <v>22.95</v>
          </cell>
        </row>
        <row r="640">
          <cell r="C640" t="str">
            <v>Z3007871</v>
          </cell>
          <cell r="D640">
            <v>3007871</v>
          </cell>
          <cell r="E640" t="str">
            <v>Solenoid Needle Valve</v>
          </cell>
          <cell r="F640" t="str">
            <v>Riello RDB</v>
          </cell>
          <cell r="G640">
            <v>35.46</v>
          </cell>
        </row>
        <row r="641">
          <cell r="C641" t="str">
            <v>Z3007913</v>
          </cell>
          <cell r="D641">
            <v>3007913</v>
          </cell>
          <cell r="E641" t="str">
            <v>Combustion Head Ring G3Q &amp; G3N</v>
          </cell>
          <cell r="F641" t="str">
            <v>Riello G5</v>
          </cell>
          <cell r="G641">
            <v>24.12</v>
          </cell>
        </row>
        <row r="642">
          <cell r="C642" t="str">
            <v>Z3007971</v>
          </cell>
          <cell r="D642">
            <v>3007971</v>
          </cell>
          <cell r="E642" t="str">
            <v>Motor</v>
          </cell>
          <cell r="F642" t="str">
            <v>Riello G5</v>
          </cell>
          <cell r="G642">
            <v>149.22</v>
          </cell>
        </row>
        <row r="643">
          <cell r="C643" t="str">
            <v>Z3008446</v>
          </cell>
          <cell r="D643">
            <v>3008446</v>
          </cell>
          <cell r="E643" t="str">
            <v>Combustion Head G3Q 40/60</v>
          </cell>
          <cell r="F643" t="str">
            <v>Riello G5 (40/60)</v>
          </cell>
          <cell r="G643">
            <v>73.69</v>
          </cell>
        </row>
        <row r="644">
          <cell r="C644" t="str">
            <v>Z3008636</v>
          </cell>
          <cell r="D644">
            <v>3008636</v>
          </cell>
          <cell r="E644" t="str">
            <v>Standard Flange (thick)</v>
          </cell>
          <cell r="F644" t="str">
            <v>Riello G5</v>
          </cell>
          <cell r="G644">
            <v>21.38</v>
          </cell>
        </row>
        <row r="645">
          <cell r="C645" t="str">
            <v>Z3008637</v>
          </cell>
          <cell r="D645">
            <v>3008637</v>
          </cell>
          <cell r="E645" t="str">
            <v>Flange - RDB 3.2</v>
          </cell>
          <cell r="F645" t="str">
            <v>Riello RDB3.2</v>
          </cell>
          <cell r="G645">
            <v>20.82</v>
          </cell>
        </row>
        <row r="646">
          <cell r="C646" t="str">
            <v>Z3008642</v>
          </cell>
          <cell r="D646">
            <v>3008642</v>
          </cell>
          <cell r="E646" t="str">
            <v>Nozzle Holder</v>
          </cell>
          <cell r="F646" t="str">
            <v>Riello RDB</v>
          </cell>
          <cell r="G646">
            <v>23.79</v>
          </cell>
        </row>
        <row r="647">
          <cell r="C647" t="str">
            <v>Z3008643</v>
          </cell>
          <cell r="D647">
            <v>3008643</v>
          </cell>
          <cell r="E647" t="str">
            <v>Collar Burner Head Mounting</v>
          </cell>
          <cell r="F647" t="str">
            <v>Riello RDB</v>
          </cell>
          <cell r="G647">
            <v>58.24</v>
          </cell>
        </row>
        <row r="648">
          <cell r="C648" t="str">
            <v>Z3008644</v>
          </cell>
          <cell r="D648">
            <v>3008644</v>
          </cell>
          <cell r="E648" t="str">
            <v>Supply Tube (RDB 1 &amp; 2)</v>
          </cell>
          <cell r="F648" t="str">
            <v>Riello RDB1 / 2</v>
          </cell>
          <cell r="G648">
            <v>45.22</v>
          </cell>
        </row>
        <row r="649">
          <cell r="C649" t="str">
            <v>Z3008645</v>
          </cell>
          <cell r="D649">
            <v>3008645</v>
          </cell>
          <cell r="E649" t="str">
            <v>Fan Impeller RDB 2</v>
          </cell>
          <cell r="F649" t="str">
            <v>Riello RDB2</v>
          </cell>
          <cell r="G649">
            <v>52.28</v>
          </cell>
        </row>
        <row r="650">
          <cell r="C650" t="str">
            <v>Z3008647</v>
          </cell>
          <cell r="D650">
            <v>3008647</v>
          </cell>
          <cell r="E650" t="str">
            <v>Air damper assembly (21kW)</v>
          </cell>
          <cell r="F650" t="str">
            <v>Riello G5, Riello RDB, RDB BLU, RDB Neutral</v>
          </cell>
          <cell r="G650">
            <v>103.87</v>
          </cell>
        </row>
        <row r="651">
          <cell r="C651" t="str">
            <v>Z3008648</v>
          </cell>
          <cell r="D651">
            <v>3008648</v>
          </cell>
          <cell r="E651" t="str">
            <v>Solenoid Coil</v>
          </cell>
          <cell r="F651" t="str">
            <v>Riello RDB, RDB BLU, RDB Neutral</v>
          </cell>
          <cell r="G651">
            <v>27.41</v>
          </cell>
        </row>
        <row r="652">
          <cell r="C652" t="str">
            <v>Z3008652</v>
          </cell>
          <cell r="D652">
            <v>3008652</v>
          </cell>
          <cell r="E652" t="str">
            <v>Control Box 535</v>
          </cell>
          <cell r="F652" t="str">
            <v>Riello RDB</v>
          </cell>
          <cell r="G652">
            <v>162.88</v>
          </cell>
        </row>
        <row r="653">
          <cell r="C653" t="str">
            <v>Z3008682</v>
          </cell>
          <cell r="D653">
            <v>3008682</v>
          </cell>
          <cell r="E653" t="str">
            <v>Solenoid coil lead</v>
          </cell>
          <cell r="F653" t="str">
            <v>Riello RDB BLU</v>
          </cell>
          <cell r="G653">
            <v>22.62</v>
          </cell>
        </row>
        <row r="654">
          <cell r="C654" t="str">
            <v>Z3008724</v>
          </cell>
          <cell r="D654">
            <v>3008724</v>
          </cell>
          <cell r="E654" t="str">
            <v>Combustion Head LD2</v>
          </cell>
          <cell r="F654" t="str">
            <v>Riello RDB</v>
          </cell>
          <cell r="G654">
            <v>74.39</v>
          </cell>
        </row>
        <row r="655">
          <cell r="C655" t="str">
            <v>Z3008768</v>
          </cell>
          <cell r="D655">
            <v>3008768</v>
          </cell>
          <cell r="E655" t="str">
            <v>Combustion Head LD3 70/90</v>
          </cell>
          <cell r="F655" t="str">
            <v>Riello RDB(70/90)</v>
          </cell>
          <cell r="G655">
            <v>50.19</v>
          </cell>
        </row>
        <row r="656">
          <cell r="C656" t="str">
            <v>Z3008769</v>
          </cell>
          <cell r="D656">
            <v>3008769</v>
          </cell>
          <cell r="E656" t="str">
            <v>Combustion Head LD3A 90/120, 110/140</v>
          </cell>
          <cell r="F656" t="str">
            <v>Riello RDB(90/120, 110/140)</v>
          </cell>
          <cell r="G656">
            <v>56.84</v>
          </cell>
        </row>
        <row r="657">
          <cell r="C657" t="str">
            <v>Z3008794</v>
          </cell>
          <cell r="D657">
            <v>3008794</v>
          </cell>
          <cell r="E657" t="str">
            <v>High Voltage Lead (6 pack)</v>
          </cell>
          <cell r="F657" t="str">
            <v>Riello RDB</v>
          </cell>
          <cell r="G657">
            <v>15.09</v>
          </cell>
        </row>
        <row r="658">
          <cell r="C658" t="str">
            <v>Z3008839</v>
          </cell>
          <cell r="D658">
            <v>3008839</v>
          </cell>
          <cell r="E658" t="str">
            <v>Air damper assembly (26kW, 36kW)</v>
          </cell>
          <cell r="F658" t="str">
            <v>Riello RDB, RDB BLU, RDB Neutral</v>
          </cell>
          <cell r="G658">
            <v>100.33</v>
          </cell>
        </row>
        <row r="659">
          <cell r="C659" t="str">
            <v>Z3008851</v>
          </cell>
          <cell r="D659">
            <v>3008851</v>
          </cell>
          <cell r="E659" t="str">
            <v>Solenoid Lead</v>
          </cell>
          <cell r="F659" t="str">
            <v>Riello RDB</v>
          </cell>
          <cell r="G659">
            <v>9.57</v>
          </cell>
        </row>
        <row r="660">
          <cell r="C660" t="str">
            <v>Z3008859</v>
          </cell>
          <cell r="D660">
            <v>3008859</v>
          </cell>
          <cell r="E660" t="str">
            <v>Combustion Head LD2SX 50/70 (Euroflame)</v>
          </cell>
          <cell r="F660" t="str">
            <v>Riello RDB(Euroflame 50/70)</v>
          </cell>
          <cell r="G660">
            <v>81.94</v>
          </cell>
        </row>
        <row r="661">
          <cell r="C661" t="str">
            <v>Z3008860</v>
          </cell>
          <cell r="D661">
            <v>3008860</v>
          </cell>
          <cell r="E661" t="str">
            <v>Electrode Group 50/70 (Euroflame)</v>
          </cell>
          <cell r="F661" t="str">
            <v>Riello RDB(Euroflame 50/70)</v>
          </cell>
          <cell r="G661">
            <v>27.48</v>
          </cell>
        </row>
        <row r="662">
          <cell r="C662" t="str">
            <v>Z3008861</v>
          </cell>
          <cell r="D662">
            <v>3008861</v>
          </cell>
          <cell r="E662" t="str">
            <v>Nozzle Holder 50/70 (Euroflame)</v>
          </cell>
          <cell r="F662" t="str">
            <v>Riello RDB(Euroflame 50/70)</v>
          </cell>
          <cell r="G662">
            <v>19.32</v>
          </cell>
        </row>
        <row r="663">
          <cell r="C663" t="str">
            <v>Z3008875</v>
          </cell>
          <cell r="D663">
            <v>3008875</v>
          </cell>
          <cell r="E663" t="str">
            <v>Electrode Screw 50/70 (Euroflame)</v>
          </cell>
          <cell r="F663" t="str">
            <v>Riello RDB(Euroflame 50/70)</v>
          </cell>
          <cell r="G663">
            <v>10.66</v>
          </cell>
        </row>
        <row r="664">
          <cell r="C664" t="str">
            <v>Z3008876</v>
          </cell>
          <cell r="D664">
            <v>3008876</v>
          </cell>
          <cell r="E664" t="str">
            <v>Pressure gauge connector</v>
          </cell>
          <cell r="F664" t="str">
            <v>Riello RDB, RDB BLU, RDB Neutral</v>
          </cell>
          <cell r="G664">
            <v>19.46</v>
          </cell>
        </row>
        <row r="665">
          <cell r="C665" t="str">
            <v>Z3008878</v>
          </cell>
          <cell r="D665">
            <v>3008878</v>
          </cell>
          <cell r="E665" t="str">
            <v>O-ring kit</v>
          </cell>
          <cell r="F665" t="str">
            <v>Riello RDB, RDB BLU, RDB Neutral</v>
          </cell>
          <cell r="G665">
            <v>12.23</v>
          </cell>
        </row>
        <row r="666">
          <cell r="C666" t="str">
            <v>Z3008879</v>
          </cell>
          <cell r="D666">
            <v>3008879</v>
          </cell>
          <cell r="E666" t="str">
            <v>RDB Burner cover</v>
          </cell>
          <cell r="F666" t="str">
            <v>Riello RDB</v>
          </cell>
          <cell r="G666">
            <v>50.93</v>
          </cell>
        </row>
        <row r="667">
          <cell r="C667" t="str">
            <v>Z3008957</v>
          </cell>
          <cell r="D667">
            <v>3008957</v>
          </cell>
          <cell r="E667" t="str">
            <v>Collar - RDB 3.2</v>
          </cell>
          <cell r="F667" t="str">
            <v>Riello RDB3.2</v>
          </cell>
          <cell r="G667">
            <v>40.17</v>
          </cell>
        </row>
        <row r="668">
          <cell r="C668" t="str">
            <v>Z3008961</v>
          </cell>
          <cell r="D668">
            <v>3008961</v>
          </cell>
          <cell r="E668" t="str">
            <v>Supply Tube 3.2 RDB</v>
          </cell>
          <cell r="F668" t="str">
            <v>Riello RDB3.2</v>
          </cell>
          <cell r="G668">
            <v>17.57</v>
          </cell>
        </row>
        <row r="669">
          <cell r="C669" t="str">
            <v>Z3008962</v>
          </cell>
          <cell r="D669">
            <v>3008962</v>
          </cell>
          <cell r="E669" t="str">
            <v>Cover - RDB 3.2</v>
          </cell>
          <cell r="F669" t="str">
            <v>Riello RDB3.2</v>
          </cell>
          <cell r="G669">
            <v>117.23</v>
          </cell>
        </row>
        <row r="670">
          <cell r="C670" t="str">
            <v>Z3008963</v>
          </cell>
          <cell r="D670">
            <v>3008963</v>
          </cell>
          <cell r="E670" t="str">
            <v>Seal Kit - 3.2 RDB</v>
          </cell>
          <cell r="F670" t="str">
            <v>Riello RDB3.2</v>
          </cell>
          <cell r="G670">
            <v>12.82</v>
          </cell>
        </row>
        <row r="671">
          <cell r="C671" t="str">
            <v>Z3008964</v>
          </cell>
          <cell r="D671">
            <v>3008964</v>
          </cell>
          <cell r="E671" t="str">
            <v>Motor (includes capacitor) RDB 3.2</v>
          </cell>
          <cell r="F671" t="str">
            <v>Riello RDB3.2</v>
          </cell>
          <cell r="G671">
            <v>238.55</v>
          </cell>
        </row>
        <row r="672">
          <cell r="C672" t="str">
            <v>Z3009046</v>
          </cell>
          <cell r="D672">
            <v>3009046</v>
          </cell>
          <cell r="E672" t="str">
            <v>1/4 X 1/4 Hose Connector</v>
          </cell>
          <cell r="F672" t="str">
            <v>Riello hose</v>
          </cell>
          <cell r="G672">
            <v>4.74</v>
          </cell>
        </row>
        <row r="673">
          <cell r="C673" t="str">
            <v>Z3020121</v>
          </cell>
          <cell r="D673">
            <v>3020121</v>
          </cell>
          <cell r="E673" t="str">
            <v>Electrodes - RDB 3.2</v>
          </cell>
          <cell r="F673" t="str">
            <v>Riello RDB3.2</v>
          </cell>
          <cell r="G673">
            <v>32.28</v>
          </cell>
        </row>
        <row r="674">
          <cell r="C674" t="str">
            <v>Z3020281</v>
          </cell>
          <cell r="D674">
            <v>3020281</v>
          </cell>
          <cell r="E674" t="str">
            <v>Air intake - balanced flue</v>
          </cell>
          <cell r="F674" t="str">
            <v>Riello RDB BLU</v>
          </cell>
          <cell r="G674">
            <v>34.46</v>
          </cell>
        </row>
        <row r="675">
          <cell r="C675" t="str">
            <v>Z3020306</v>
          </cell>
          <cell r="D675">
            <v>3020306</v>
          </cell>
          <cell r="E675" t="str">
            <v>Front shield</v>
          </cell>
          <cell r="F675" t="str">
            <v>Riello RDB BLU</v>
          </cell>
          <cell r="G675">
            <v>37.229999999999997</v>
          </cell>
        </row>
        <row r="676">
          <cell r="C676" t="str">
            <v>Z3020436</v>
          </cell>
          <cell r="D676">
            <v>3020436</v>
          </cell>
          <cell r="E676" t="str">
            <v>Pump Filter &amp; O-Ring</v>
          </cell>
          <cell r="F676" t="str">
            <v>Riello RDB</v>
          </cell>
          <cell r="G676">
            <v>10.91</v>
          </cell>
        </row>
        <row r="677">
          <cell r="C677" t="str">
            <v>Z3020437</v>
          </cell>
          <cell r="D677">
            <v>3020437</v>
          </cell>
          <cell r="E677" t="str">
            <v>Valve Oil Pump Solenoid</v>
          </cell>
          <cell r="F677" t="str">
            <v>Riello G5</v>
          </cell>
          <cell r="G677">
            <v>52.44</v>
          </cell>
        </row>
        <row r="678">
          <cell r="C678" t="str">
            <v>Z3020444</v>
          </cell>
          <cell r="D678">
            <v>3020444</v>
          </cell>
          <cell r="E678" t="str">
            <v>Long Hydraulic Ram</v>
          </cell>
          <cell r="F678" t="str">
            <v>Riello G5</v>
          </cell>
          <cell r="G678">
            <v>81.78</v>
          </cell>
        </row>
        <row r="679">
          <cell r="C679" t="str">
            <v>Z3062774</v>
          </cell>
          <cell r="D679">
            <v>3062774</v>
          </cell>
          <cell r="E679" t="str">
            <v>Air Snorkel Spigot</v>
          </cell>
          <cell r="F679" t="str">
            <v>Riello RDB</v>
          </cell>
          <cell r="G679">
            <v>21.08</v>
          </cell>
        </row>
        <row r="680">
          <cell r="C680" t="str">
            <v>Z3012868</v>
          </cell>
          <cell r="D680">
            <v>3012868</v>
          </cell>
          <cell r="E680" t="str">
            <v>O Ring BF Blast tube (pack of 5)</v>
          </cell>
          <cell r="F680" t="str">
            <v>All Riello burners</v>
          </cell>
          <cell r="G680">
            <v>47.8</v>
          </cell>
        </row>
        <row r="681">
          <cell r="C681" t="str">
            <v>Z3012868X</v>
          </cell>
          <cell r="D681">
            <v>5056003779448</v>
          </cell>
          <cell r="E681" t="str">
            <v>O Ring BF Blast tube (single)</v>
          </cell>
          <cell r="F681" t="str">
            <v>All Riello burners</v>
          </cell>
          <cell r="G681">
            <v>9.57</v>
          </cell>
        </row>
        <row r="682">
          <cell r="C682" t="str">
            <v>Z20175374</v>
          </cell>
          <cell r="D682">
            <v>20175374</v>
          </cell>
          <cell r="E682" t="str">
            <v>Combustion Head for  RDB2.2 BG1 BLU BURNER IONO 21</v>
          </cell>
          <cell r="F682" t="str">
            <v>Riello RDB BLU IONO</v>
          </cell>
          <cell r="G682">
            <v>310.73</v>
          </cell>
        </row>
        <row r="683">
          <cell r="C683" t="str">
            <v>Z20175375</v>
          </cell>
          <cell r="D683">
            <v>20175375</v>
          </cell>
          <cell r="E683" t="str">
            <v>Combustion Head for RDB2.2 BG2 BLU BURNER  IONO 26</v>
          </cell>
          <cell r="F683" t="str">
            <v>Riello RDB BLU IONO</v>
          </cell>
          <cell r="G683">
            <v>324.54000000000002</v>
          </cell>
        </row>
        <row r="684">
          <cell r="C684" t="str">
            <v>Z20175376</v>
          </cell>
          <cell r="D684">
            <v>20175376</v>
          </cell>
          <cell r="E684" t="str">
            <v>Combustion Head for RDB2.2 BG3 BLU BURNER IONO 36</v>
          </cell>
          <cell r="F684" t="str">
            <v>Riello RDB BLU IONO</v>
          </cell>
          <cell r="G684">
            <v>324.54000000000002</v>
          </cell>
        </row>
        <row r="685">
          <cell r="C685" t="str">
            <v>Z20177875</v>
          </cell>
          <cell r="D685">
            <v>20177875</v>
          </cell>
          <cell r="E685" t="str">
            <v>Probe Connection BF IONO</v>
          </cell>
          <cell r="F685" t="str">
            <v>Riello RDB BLU IONO</v>
          </cell>
          <cell r="G685">
            <v>24.83</v>
          </cell>
        </row>
        <row r="686">
          <cell r="C686" t="str">
            <v>Z20165494</v>
          </cell>
          <cell r="D686">
            <v>20165494</v>
          </cell>
          <cell r="E686" t="str">
            <v>Control Box BF IONO</v>
          </cell>
          <cell r="F686" t="str">
            <v>Riello RDB BLU IONO</v>
          </cell>
          <cell r="G686">
            <v>266.67</v>
          </cell>
        </row>
        <row r="687">
          <cell r="C687" t="str">
            <v>Z20175038</v>
          </cell>
          <cell r="D687">
            <v>20175038</v>
          </cell>
          <cell r="E687" t="str">
            <v>Coil - Shell and Knob BF IONO</v>
          </cell>
          <cell r="F687" t="str">
            <v>Riello RDB BLU IONO</v>
          </cell>
          <cell r="G687">
            <v>41.59</v>
          </cell>
        </row>
        <row r="688">
          <cell r="C688" t="str">
            <v>Z20180631</v>
          </cell>
          <cell r="D688">
            <v>20180631</v>
          </cell>
          <cell r="E688" t="str">
            <v>Ionization Probe for RDB2.2 BG1 BLU BURNER IONO 21</v>
          </cell>
          <cell r="F688" t="str">
            <v>Riello RDB BLU IONO</v>
          </cell>
          <cell r="G688">
            <v>120.35</v>
          </cell>
        </row>
        <row r="689">
          <cell r="C689" t="str">
            <v>Z20180632</v>
          </cell>
          <cell r="D689">
            <v>20180632</v>
          </cell>
          <cell r="E689" t="str">
            <v>Ionization Probe for RDB2.2 BG2 &amp; 3 BLU BURNER IONO 26 &amp; 36</v>
          </cell>
          <cell r="F689" t="str">
            <v>Riello RDB BLU IONO</v>
          </cell>
          <cell r="G689">
            <v>129.57</v>
          </cell>
        </row>
        <row r="690">
          <cell r="C690" t="str">
            <v>SBS01</v>
          </cell>
          <cell r="D690">
            <v>5056003702187</v>
          </cell>
          <cell r="E690" t="str">
            <v>Control Box</v>
          </cell>
          <cell r="F690" t="str">
            <v>Sterling Burners</v>
          </cell>
          <cell r="G690" t="str">
            <v>POA</v>
          </cell>
        </row>
        <row r="691">
          <cell r="C691" t="str">
            <v>SBS02</v>
          </cell>
          <cell r="D691">
            <v>5056003702316</v>
          </cell>
          <cell r="E691" t="str">
            <v>Photocell</v>
          </cell>
          <cell r="F691" t="str">
            <v>Sterling Burners</v>
          </cell>
          <cell r="G691" t="str">
            <v>POA</v>
          </cell>
        </row>
        <row r="692">
          <cell r="C692" t="str">
            <v>SBS03</v>
          </cell>
          <cell r="D692">
            <v>5056003702286</v>
          </cell>
          <cell r="E692" t="str">
            <v>Pump BFP11L3</v>
          </cell>
          <cell r="F692" t="str">
            <v>Sterling Burners</v>
          </cell>
          <cell r="G692" t="str">
            <v>POA</v>
          </cell>
        </row>
        <row r="693">
          <cell r="C693" t="str">
            <v>SBS04</v>
          </cell>
          <cell r="D693">
            <v>5056003702279</v>
          </cell>
          <cell r="E693" t="str">
            <v>Solenoid Coil 240V</v>
          </cell>
          <cell r="F693" t="str">
            <v>Sterling Burners</v>
          </cell>
          <cell r="G693" t="str">
            <v>POA</v>
          </cell>
        </row>
        <row r="694">
          <cell r="C694" t="str">
            <v>SBS05</v>
          </cell>
          <cell r="D694">
            <v>5056003702309</v>
          </cell>
          <cell r="E694" t="str">
            <v>Motor 125W</v>
          </cell>
          <cell r="F694" t="str">
            <v>Sterling Burners</v>
          </cell>
          <cell r="G694" t="str">
            <v>POA</v>
          </cell>
        </row>
        <row r="695">
          <cell r="C695" t="str">
            <v>SBS07</v>
          </cell>
          <cell r="D695">
            <v>5060090373151</v>
          </cell>
          <cell r="E695" t="str">
            <v>1000mm Flexi Oil Line</v>
          </cell>
          <cell r="F695" t="str">
            <v>Sterling Burners</v>
          </cell>
          <cell r="G695" t="str">
            <v>POA</v>
          </cell>
        </row>
        <row r="696">
          <cell r="C696" t="str">
            <v>SBS08</v>
          </cell>
          <cell r="D696">
            <v>5056003702361</v>
          </cell>
          <cell r="E696" t="str">
            <v>Gasket One Bolt Fixing</v>
          </cell>
          <cell r="F696" t="str">
            <v>Sterling Burners</v>
          </cell>
          <cell r="G696" t="str">
            <v>POA</v>
          </cell>
        </row>
        <row r="697">
          <cell r="C697" t="str">
            <v>SBS09</v>
          </cell>
          <cell r="D697">
            <v>5056003705089</v>
          </cell>
          <cell r="E697" t="str">
            <v>Flange Gasket</v>
          </cell>
          <cell r="F697" t="str">
            <v>Sterling Burners</v>
          </cell>
          <cell r="G697" t="str">
            <v>POA</v>
          </cell>
        </row>
        <row r="698">
          <cell r="C698" t="str">
            <v>SBS10</v>
          </cell>
          <cell r="D698">
            <v>5056003702378</v>
          </cell>
          <cell r="E698" t="str">
            <v>Fixing Screw</v>
          </cell>
          <cell r="F698" t="str">
            <v>Sterling Burners</v>
          </cell>
          <cell r="G698" t="str">
            <v>POA</v>
          </cell>
        </row>
        <row r="699">
          <cell r="C699" t="str">
            <v>SBS11</v>
          </cell>
          <cell r="D699">
            <v>5056003702200</v>
          </cell>
          <cell r="E699" t="str">
            <v>Ignition Transformer</v>
          </cell>
          <cell r="F699" t="str">
            <v>Sterling Burners</v>
          </cell>
          <cell r="G699" t="str">
            <v>POA</v>
          </cell>
        </row>
        <row r="700">
          <cell r="C700" t="str">
            <v>SBS12</v>
          </cell>
          <cell r="D700">
            <v>5056003702293</v>
          </cell>
          <cell r="E700" t="str">
            <v>Drive Coupling</v>
          </cell>
          <cell r="F700" t="str">
            <v>Sterling Burners</v>
          </cell>
          <cell r="G700" t="str">
            <v>POA</v>
          </cell>
        </row>
        <row r="701">
          <cell r="C701" t="str">
            <v>SBS13</v>
          </cell>
          <cell r="D701">
            <v>5056003702224</v>
          </cell>
          <cell r="E701" t="str">
            <v>KA Diffuser Plate</v>
          </cell>
          <cell r="F701" t="str">
            <v>Sterling Burners</v>
          </cell>
          <cell r="G701" t="str">
            <v>POA</v>
          </cell>
        </row>
        <row r="702">
          <cell r="C702" t="str">
            <v>SBS14</v>
          </cell>
          <cell r="D702">
            <v>5056003702231</v>
          </cell>
          <cell r="E702" t="str">
            <v>K-Blast Tube 140/160</v>
          </cell>
          <cell r="F702" t="str">
            <v>Sterling Burners</v>
          </cell>
          <cell r="G702" t="str">
            <v>POA</v>
          </cell>
        </row>
        <row r="703">
          <cell r="C703" t="str">
            <v>SBS15</v>
          </cell>
          <cell r="D703">
            <v>5056003702248</v>
          </cell>
          <cell r="E703" t="str">
            <v>C - K Blast Tube 160/200</v>
          </cell>
          <cell r="F703" t="str">
            <v>Sterling Burners</v>
          </cell>
          <cell r="G703" t="str">
            <v>POA</v>
          </cell>
        </row>
        <row r="704">
          <cell r="C704" t="str">
            <v>SBS16</v>
          </cell>
          <cell r="D704">
            <v>5056003702194</v>
          </cell>
          <cell r="E704" t="str">
            <v>Base &amp; Cable Plate</v>
          </cell>
          <cell r="F704" t="str">
            <v>Sterling Burners</v>
          </cell>
          <cell r="G704" t="str">
            <v>POA</v>
          </cell>
        </row>
        <row r="705">
          <cell r="C705" t="str">
            <v>SBS17</v>
          </cell>
          <cell r="D705">
            <v>5056003702385</v>
          </cell>
          <cell r="E705" t="str">
            <v>Burner Flange Gasket</v>
          </cell>
          <cell r="F705" t="str">
            <v>Sterling Burners</v>
          </cell>
          <cell r="G705" t="str">
            <v>POA</v>
          </cell>
        </row>
        <row r="706">
          <cell r="C706" t="str">
            <v>SBS22</v>
          </cell>
          <cell r="D706">
            <v>5056003702392</v>
          </cell>
          <cell r="E706" t="str">
            <v>Fan Impeller</v>
          </cell>
          <cell r="F706" t="str">
            <v>Sterling Burners</v>
          </cell>
          <cell r="G706" t="str">
            <v>POA</v>
          </cell>
        </row>
        <row r="707">
          <cell r="C707" t="str">
            <v>SBS25</v>
          </cell>
          <cell r="D707">
            <v>5056003702262</v>
          </cell>
          <cell r="E707" t="str">
            <v>Supply Tube</v>
          </cell>
          <cell r="F707" t="str">
            <v>Sterling Burners</v>
          </cell>
          <cell r="G707" t="str">
            <v>POA</v>
          </cell>
        </row>
        <row r="708">
          <cell r="C708" t="str">
            <v>SBS26</v>
          </cell>
          <cell r="D708">
            <v>5056003702255</v>
          </cell>
          <cell r="E708" t="str">
            <v>Electrode Assembly</v>
          </cell>
          <cell r="F708" t="str">
            <v>Sterling Burners</v>
          </cell>
          <cell r="G708" t="str">
            <v>POA</v>
          </cell>
        </row>
        <row r="709">
          <cell r="C709" t="str">
            <v>SBS28</v>
          </cell>
          <cell r="D709">
            <v>5056003702217</v>
          </cell>
          <cell r="E709" t="str">
            <v>Electrode Leads</v>
          </cell>
          <cell r="F709" t="str">
            <v>Sterling Burners</v>
          </cell>
          <cell r="G709" t="str">
            <v>POA</v>
          </cell>
        </row>
        <row r="710">
          <cell r="C710" t="str">
            <v>SBS39</v>
          </cell>
          <cell r="D710">
            <v>5056003702415</v>
          </cell>
          <cell r="E710" t="str">
            <v>Gasket</v>
          </cell>
          <cell r="F710" t="str">
            <v>Sterling Burners</v>
          </cell>
          <cell r="G710" t="str">
            <v>POA</v>
          </cell>
        </row>
        <row r="711">
          <cell r="C711" t="str">
            <v>SBS40</v>
          </cell>
          <cell r="D711">
            <v>5056003702323</v>
          </cell>
          <cell r="E711" t="str">
            <v>Capacitor</v>
          </cell>
          <cell r="F711" t="str">
            <v>Sterling Burners</v>
          </cell>
          <cell r="G711" t="str">
            <v>POA</v>
          </cell>
        </row>
        <row r="712">
          <cell r="C712" t="str">
            <v>SBS50</v>
          </cell>
          <cell r="D712">
            <v>5056003702330</v>
          </cell>
          <cell r="E712" t="str">
            <v>Pump BFP21L3</v>
          </cell>
          <cell r="F712" t="str">
            <v>Sterling Burners</v>
          </cell>
          <cell r="G712" t="str">
            <v>POA</v>
          </cell>
        </row>
        <row r="713">
          <cell r="C713" t="str">
            <v>SBS51</v>
          </cell>
          <cell r="D713">
            <v>5056003702347</v>
          </cell>
          <cell r="E713" t="str">
            <v>Pump BFP21R3</v>
          </cell>
          <cell r="F713" t="str">
            <v>Sterling Burners</v>
          </cell>
          <cell r="G713" t="str">
            <v>POA</v>
          </cell>
        </row>
        <row r="714">
          <cell r="C714" t="str">
            <v>VBS126A</v>
          </cell>
          <cell r="D714">
            <v>5056003707861</v>
          </cell>
          <cell r="E714" t="str">
            <v>White HE HW pump cable with plug (1100mm)</v>
          </cell>
          <cell r="F714" t="str">
            <v>All Vortex models</v>
          </cell>
          <cell r="G714">
            <v>38.18</v>
          </cell>
        </row>
        <row r="715">
          <cell r="C715" t="str">
            <v>VBS126B</v>
          </cell>
          <cell r="D715">
            <v>5056003707878</v>
          </cell>
          <cell r="E715" t="str">
            <v>Black HE heat only Pump Cable with plug (800mm)</v>
          </cell>
          <cell r="F715" t="str">
            <v>All Vortex models</v>
          </cell>
          <cell r="G715">
            <v>34.1</v>
          </cell>
        </row>
        <row r="716">
          <cell r="C716" t="str">
            <v>VBS126CH</v>
          </cell>
          <cell r="D716">
            <v>5056003777222</v>
          </cell>
          <cell r="E716" t="str">
            <v>Wilo 7m pump w/c black heat only cable + plug (800mm)</v>
          </cell>
          <cell r="F716" t="str">
            <v>All Vortex models</v>
          </cell>
          <cell r="G716">
            <v>269.7</v>
          </cell>
        </row>
        <row r="717">
          <cell r="C717" t="str">
            <v>VBS126DHW</v>
          </cell>
          <cell r="D717">
            <v>5056003777215</v>
          </cell>
          <cell r="E717" t="str">
            <v>Wilo 7m pump w/c white hot water cable + plug (1100mm)</v>
          </cell>
          <cell r="F717" t="str">
            <v>All Vortex models</v>
          </cell>
          <cell r="G717">
            <v>269.7</v>
          </cell>
        </row>
        <row r="718">
          <cell r="C718" t="str">
            <v>VBS159</v>
          </cell>
          <cell r="D718">
            <v>5056003777659</v>
          </cell>
          <cell r="E718" t="str">
            <v>Wilo Para 7m SC pump</v>
          </cell>
          <cell r="F718" t="str">
            <v>All Vortex models (post June 2020)</v>
          </cell>
          <cell r="G718">
            <v>231.51</v>
          </cell>
        </row>
        <row r="719">
          <cell r="C719" t="str">
            <v>EFBS25</v>
          </cell>
          <cell r="D719">
            <v>5056003700688</v>
          </cell>
          <cell r="E719" t="str">
            <v>Low Pressure Neon (amber)</v>
          </cell>
          <cell r="F719" t="str">
            <v>Euroflame, CombiV3</v>
          </cell>
          <cell r="G719">
            <v>10.65</v>
          </cell>
        </row>
        <row r="720">
          <cell r="C720" t="str">
            <v>MPCBS104</v>
          </cell>
          <cell r="D720">
            <v>5056003703306</v>
          </cell>
          <cell r="E720" t="str">
            <v>Control Panel (inc. top cover plate)</v>
          </cell>
          <cell r="F720" t="str">
            <v>Vortex Pro Combi Indoor 21-26KW (pre 24.10.14)</v>
          </cell>
          <cell r="G720" t="str">
            <v>POA</v>
          </cell>
        </row>
        <row r="721">
          <cell r="C721" t="str">
            <v>MPCBS104X</v>
          </cell>
          <cell r="D721">
            <v>5056003703290</v>
          </cell>
          <cell r="E721" t="str">
            <v>Control Panel (inc. top cover plate)</v>
          </cell>
          <cell r="F721" t="str">
            <v>Vortex Pro Combi Internal 36 (pre 24.10.14)</v>
          </cell>
          <cell r="G721" t="str">
            <v>POA</v>
          </cell>
        </row>
        <row r="722">
          <cell r="C722" t="str">
            <v>MPCBS105</v>
          </cell>
          <cell r="D722">
            <v>5056003703283</v>
          </cell>
          <cell r="E722" t="str">
            <v>Control Panel (inc. top cover plate)</v>
          </cell>
          <cell r="F722" t="str">
            <v>Vortex Pro Combi External (pre 01.11.16)</v>
          </cell>
          <cell r="G722" t="str">
            <v>POA</v>
          </cell>
        </row>
        <row r="723">
          <cell r="C723" t="str">
            <v>MPCBS105A</v>
          </cell>
          <cell r="D723">
            <v>5056003705829</v>
          </cell>
          <cell r="E723" t="str">
            <v>Control Panel Male 5 Pin Plug</v>
          </cell>
          <cell r="F723" t="str">
            <v xml:space="preserve">Vortex Pro Combi External </v>
          </cell>
          <cell r="G723">
            <v>26.19</v>
          </cell>
        </row>
        <row r="724">
          <cell r="C724" t="str">
            <v>MPCBS105B</v>
          </cell>
          <cell r="D724">
            <v>5056003705836</v>
          </cell>
          <cell r="E724" t="str">
            <v>Control Panel Female 5 Pin Plug</v>
          </cell>
          <cell r="F724" t="str">
            <v xml:space="preserve">Vortex Pro Combi External </v>
          </cell>
          <cell r="G724">
            <v>26.19</v>
          </cell>
        </row>
        <row r="725">
          <cell r="C725" t="str">
            <v>MPCBS105N</v>
          </cell>
          <cell r="D725">
            <v>5056003721119</v>
          </cell>
          <cell r="E725" t="str">
            <v>Control Panel (inc. top cover plate)</v>
          </cell>
          <cell r="F725" t="str">
            <v>Vortex Pro Combi External (post 01.11.16)</v>
          </cell>
          <cell r="G725" t="str">
            <v>POA</v>
          </cell>
        </row>
        <row r="726">
          <cell r="C726" t="str">
            <v>MPCBS106</v>
          </cell>
          <cell r="D726">
            <v>5056003704877</v>
          </cell>
          <cell r="E726" t="str">
            <v xml:space="preserve">Control Panel </v>
          </cell>
          <cell r="F726" t="str">
            <v>Vortex Eco External Wall Hung non system</v>
          </cell>
          <cell r="G726" t="str">
            <v>POA</v>
          </cell>
        </row>
        <row r="727">
          <cell r="C727" t="str">
            <v>MPCBS106X</v>
          </cell>
          <cell r="D727">
            <v>5056003704891</v>
          </cell>
          <cell r="E727" t="str">
            <v>Control Panel</v>
          </cell>
          <cell r="F727" t="str">
            <v>Vortex Eco External Wall Hung System</v>
          </cell>
          <cell r="G727" t="str">
            <v>POA</v>
          </cell>
        </row>
        <row r="728">
          <cell r="C728" t="str">
            <v>MPCBS108</v>
          </cell>
          <cell r="D728">
            <v>5056003704884</v>
          </cell>
          <cell r="E728" t="str">
            <v>Control Panel</v>
          </cell>
          <cell r="F728" t="str">
            <v>Vortex Eco Internal Wall Hung non system</v>
          </cell>
          <cell r="G728" t="str">
            <v>POA</v>
          </cell>
        </row>
        <row r="729">
          <cell r="C729" t="str">
            <v>MPCBS108X</v>
          </cell>
          <cell r="D729">
            <v>5056003704907</v>
          </cell>
          <cell r="E729" t="str">
            <v>Control Panel</v>
          </cell>
          <cell r="F729" t="str">
            <v>Vortex Eco Internal Wall Hung system</v>
          </cell>
          <cell r="G729" t="str">
            <v>POA</v>
          </cell>
        </row>
        <row r="730">
          <cell r="C730" t="str">
            <v>MPCBS114</v>
          </cell>
          <cell r="D730">
            <v>5056003702873</v>
          </cell>
          <cell r="E730" t="str">
            <v>Control Panel (inc. top cover plate)</v>
          </cell>
          <cell r="F730" t="str">
            <v>Vortex Pro Combi Internal (pre 01.11.16)</v>
          </cell>
          <cell r="G730" t="str">
            <v>POA</v>
          </cell>
        </row>
        <row r="731">
          <cell r="C731" t="str">
            <v>MPCBS114N</v>
          </cell>
          <cell r="D731">
            <v>5056003721126</v>
          </cell>
          <cell r="E731" t="str">
            <v>Control Panel (inc. top cover plate)</v>
          </cell>
          <cell r="F731" t="str">
            <v>Vortex Pro Combi Internal (post 01.11.16)</v>
          </cell>
          <cell r="G731" t="str">
            <v>POA</v>
          </cell>
        </row>
        <row r="732">
          <cell r="C732" t="str">
            <v>MPCBS45</v>
          </cell>
          <cell r="D732">
            <v>5056003702590</v>
          </cell>
          <cell r="E732" t="str">
            <v>Boiler On Neon (Green)</v>
          </cell>
          <cell r="F732" t="str">
            <v>Comb MKII, Vortex Pro Internal</v>
          </cell>
          <cell r="G732">
            <v>10.65</v>
          </cell>
        </row>
        <row r="733">
          <cell r="C733" t="str">
            <v>MPCBS46</v>
          </cell>
          <cell r="D733">
            <v>5056003700480</v>
          </cell>
          <cell r="E733" t="str">
            <v>Overheat Cut-Out Thermostat Neon (Red)</v>
          </cell>
          <cell r="F733" t="str">
            <v>Comb MKII, Comb V3, Vortex Pro Internal, Vortex Pro Combi, Vortex Eco Wall Hung</v>
          </cell>
          <cell r="G733">
            <v>10.65</v>
          </cell>
        </row>
        <row r="734">
          <cell r="C734" t="str">
            <v>MPCBS54E</v>
          </cell>
          <cell r="D734">
            <v>5056003702767</v>
          </cell>
          <cell r="E734" t="str">
            <v>Temperature Control PCB  (with sensor)</v>
          </cell>
          <cell r="F734" t="str">
            <v>Vortex Pro Combi (post Sept 2008)</v>
          </cell>
          <cell r="G734">
            <v>151.59</v>
          </cell>
        </row>
        <row r="735">
          <cell r="C735" t="str">
            <v>MPCBS54X</v>
          </cell>
          <cell r="D735">
            <v>5056003704419</v>
          </cell>
          <cell r="E735" t="str">
            <v>Temperature Control PCB (with sensor)</v>
          </cell>
          <cell r="F735" t="str">
            <v>Comb V3, Vortex Pro Combi (pre Sept 2008)</v>
          </cell>
          <cell r="G735">
            <v>133.41999999999999</v>
          </cell>
        </row>
        <row r="736">
          <cell r="C736" t="str">
            <v>MPCBS72</v>
          </cell>
          <cell r="D736">
            <v>5056003701173</v>
          </cell>
          <cell r="E736" t="str">
            <v>Relay (clear)</v>
          </cell>
          <cell r="F736" t="str">
            <v>Vortex Combi (pre Sept 2008)</v>
          </cell>
          <cell r="G736">
            <v>30.77</v>
          </cell>
        </row>
        <row r="737">
          <cell r="C737" t="str">
            <v>MPCBS72B</v>
          </cell>
          <cell r="D737">
            <v>5056003702781</v>
          </cell>
          <cell r="E737" t="str">
            <v>Relay Base (grey relay)</v>
          </cell>
          <cell r="F737" t="str">
            <v>Vortex Combi (pre Sept 2008)</v>
          </cell>
          <cell r="G737">
            <v>25.09</v>
          </cell>
        </row>
        <row r="738">
          <cell r="C738" t="str">
            <v>MPCBS72X</v>
          </cell>
          <cell r="D738">
            <v>5056003704068</v>
          </cell>
          <cell r="E738" t="str">
            <v xml:space="preserve">Orange Relay </v>
          </cell>
          <cell r="F738" t="str">
            <v>Vortex Outoor Combi (pre Sept 2008)</v>
          </cell>
          <cell r="G738">
            <v>30.77</v>
          </cell>
        </row>
        <row r="739">
          <cell r="C739" t="str">
            <v>MPCBS75</v>
          </cell>
          <cell r="D739">
            <v>5056003701166</v>
          </cell>
          <cell r="E739" t="str">
            <v>Relay Base (orange relay)</v>
          </cell>
          <cell r="F739" t="str">
            <v>Vortex Combi (pre Sept 2008)</v>
          </cell>
          <cell r="G739">
            <v>28.66</v>
          </cell>
        </row>
        <row r="740">
          <cell r="C740" t="str">
            <v>MPCBS96</v>
          </cell>
          <cell r="D740">
            <v>5056003701234</v>
          </cell>
          <cell r="E740" t="str">
            <v>PCB Temperature Control (no sensor)</v>
          </cell>
          <cell r="F740" t="str">
            <v>Vortex Pro Combi (post Sept 2008)</v>
          </cell>
          <cell r="G740">
            <v>114.03</v>
          </cell>
        </row>
        <row r="741">
          <cell r="C741" t="str">
            <v>MPCBS97</v>
          </cell>
          <cell r="D741">
            <v>5056003701241</v>
          </cell>
          <cell r="E741" t="str">
            <v>Central Heating Sensor for PCB (black)</v>
          </cell>
          <cell r="F741" t="str">
            <v>Comb V3, Vortex Pro Combi (post Sept 2008)</v>
          </cell>
          <cell r="G741">
            <v>64.37</v>
          </cell>
        </row>
        <row r="742">
          <cell r="C742" t="str">
            <v>MPCBS97X</v>
          </cell>
          <cell r="D742">
            <v>5056003704402</v>
          </cell>
          <cell r="E742" t="str">
            <v>Temperature Control PCB (no sensor)</v>
          </cell>
          <cell r="F742" t="str">
            <v>Comb V3, Vortex Pro Combi (pre Sept 2008)</v>
          </cell>
          <cell r="G742">
            <v>115.76</v>
          </cell>
        </row>
        <row r="743">
          <cell r="C743" t="str">
            <v>MPCBS98</v>
          </cell>
          <cell r="D743">
            <v>5056003701258</v>
          </cell>
          <cell r="E743" t="str">
            <v>Direct H/W Sensor for PCB (White)</v>
          </cell>
          <cell r="F743" t="str">
            <v>Vortex Pro Combi (post Sept 2008)</v>
          </cell>
          <cell r="G743">
            <v>64.37</v>
          </cell>
        </row>
        <row r="744">
          <cell r="C744" t="str">
            <v>TPBS30</v>
          </cell>
          <cell r="D744">
            <v>5056003703238</v>
          </cell>
          <cell r="E744" t="str">
            <v>Temperature Control Knob</v>
          </cell>
          <cell r="F744" t="str">
            <v>All models (pre Sept 2015)</v>
          </cell>
          <cell r="G744">
            <v>0.87</v>
          </cell>
        </row>
        <row r="745">
          <cell r="C745" t="str">
            <v>VBS135</v>
          </cell>
          <cell r="D745">
            <v>5056003708172</v>
          </cell>
          <cell r="E745" t="str">
            <v>Temperature Control Knob 180 deg</v>
          </cell>
          <cell r="F745" t="str">
            <v>All non Combi models (post Sept 2015)</v>
          </cell>
          <cell r="G745">
            <v>0.87</v>
          </cell>
        </row>
        <row r="746">
          <cell r="C746" t="str">
            <v>VBS136</v>
          </cell>
          <cell r="D746">
            <v>5056003708189</v>
          </cell>
          <cell r="E746" t="str">
            <v>Temperature Control Knob 270 deg</v>
          </cell>
          <cell r="F746" t="str">
            <v>All combi models (post Sept 2015)</v>
          </cell>
          <cell r="G746">
            <v>0.87</v>
          </cell>
        </row>
        <row r="747">
          <cell r="C747" t="str">
            <v>MPCBS27</v>
          </cell>
          <cell r="D747">
            <v>5056003700824</v>
          </cell>
          <cell r="E747" t="str">
            <v>10 litre Expansion Vessel</v>
          </cell>
          <cell r="F747" t="str">
            <v>Euroflame Internal  50/70 &amp; 70/90, Euroflame External models, Vortex Pro 15-21KW</v>
          </cell>
          <cell r="G747">
            <v>69.31</v>
          </cell>
        </row>
        <row r="748">
          <cell r="C748" t="str">
            <v>MPCBS70</v>
          </cell>
          <cell r="D748">
            <v>5056003701074</v>
          </cell>
          <cell r="E748" t="str">
            <v>14 litre Expansion Vessel</v>
          </cell>
          <cell r="F748" t="str">
            <v>Vortex Pro Combi 36KW (pre Dec 2014)</v>
          </cell>
          <cell r="G748">
            <v>98.72</v>
          </cell>
        </row>
        <row r="749">
          <cell r="C749" t="str">
            <v>MPCBSWINK24</v>
          </cell>
          <cell r="D749">
            <v>5056003739374</v>
          </cell>
          <cell r="E749" t="str">
            <v>24 litre Expansion Vessel</v>
          </cell>
          <cell r="F749" t="str">
            <v>Vortex Pro Combi (post Dec 2014)</v>
          </cell>
          <cell r="G749">
            <v>125.27</v>
          </cell>
        </row>
        <row r="750">
          <cell r="C750" t="str">
            <v>MPSS01</v>
          </cell>
          <cell r="D750">
            <v>5056003700411</v>
          </cell>
          <cell r="E750" t="str">
            <v>12 Litre Expansion Vessel</v>
          </cell>
          <cell r="F750" t="str">
            <v>Comb MKII, CombiV3, Euroflame Internal 50/90 &amp; 90/120, Multipass 50/70, 70/90 &amp; 90/140, Vortex Pro 15-26KW, Vortex Pro Combi 26KW (pre Dec 2014), Vortex Eco</v>
          </cell>
          <cell r="G750">
            <v>88.34</v>
          </cell>
        </row>
        <row r="751">
          <cell r="C751" t="str">
            <v>MPSS08</v>
          </cell>
          <cell r="D751">
            <v>5056003701067</v>
          </cell>
          <cell r="E751" t="str">
            <v>10 litre Expansion Vessel (flat)</v>
          </cell>
          <cell r="F751" t="str">
            <v>Vortex Pro Combi 21kW (pre Dec 2014)</v>
          </cell>
          <cell r="G751">
            <v>109.21</v>
          </cell>
        </row>
        <row r="752">
          <cell r="C752" t="str">
            <v>VBS/UNI</v>
          </cell>
          <cell r="D752">
            <v>5056003772517</v>
          </cell>
          <cell r="E752" t="str">
            <v>12 Litre Slimline Universal Vessel (no bracket)</v>
          </cell>
          <cell r="G752">
            <v>81.790000000000006</v>
          </cell>
        </row>
        <row r="753">
          <cell r="C753" t="str">
            <v>VBS/VWB</v>
          </cell>
          <cell r="D753">
            <v>5056003774146</v>
          </cell>
          <cell r="E753" t="str">
            <v>Expansion vessel fixing bar kit</v>
          </cell>
          <cell r="G753">
            <v>69.81</v>
          </cell>
        </row>
        <row r="754">
          <cell r="C754" t="str">
            <v>VBS/VWB12</v>
          </cell>
          <cell r="D754" t="str">
            <v>5056003777604</v>
          </cell>
          <cell r="E754" t="str">
            <v>12 litre Expansion Vessel with wall bracket &amp; fittings</v>
          </cell>
          <cell r="G754">
            <v>129.35</v>
          </cell>
        </row>
        <row r="755">
          <cell r="C755" t="str">
            <v>VBS/VWB18</v>
          </cell>
          <cell r="D755" t="str">
            <v>5056003777598</v>
          </cell>
          <cell r="E755" t="str">
            <v>18 litre Expansion Vessel with wall bracket &amp; fittings</v>
          </cell>
          <cell r="G755">
            <v>130.09</v>
          </cell>
        </row>
        <row r="756">
          <cell r="C756" t="str">
            <v>VBS/VWB25</v>
          </cell>
          <cell r="D756" t="str">
            <v>5056003777581</v>
          </cell>
          <cell r="E756" t="str">
            <v>25 litre Expansion Vessel with wall bracket &amp; fittings</v>
          </cell>
          <cell r="G756">
            <v>137.87</v>
          </cell>
        </row>
        <row r="757">
          <cell r="C757" t="str">
            <v>VBS06</v>
          </cell>
          <cell r="D757">
            <v>5056003700831</v>
          </cell>
          <cell r="E757" t="str">
            <v>12 litre Expansion Vessel (flat)</v>
          </cell>
          <cell r="F757" t="str">
            <v>Vortex Pro 26-36KW</v>
          </cell>
          <cell r="G757">
            <v>85.13</v>
          </cell>
        </row>
        <row r="758">
          <cell r="C758" t="str">
            <v>VBS124</v>
          </cell>
          <cell r="D758">
            <v>5056003707830</v>
          </cell>
          <cell r="E758" t="str">
            <v>24 litre Expansion Vessel</v>
          </cell>
          <cell r="F758" t="str">
            <v>Vortex Pro Combi (All models post Dec 2014)</v>
          </cell>
          <cell r="G758">
            <v>125.27</v>
          </cell>
        </row>
        <row r="759">
          <cell r="C759" t="str">
            <v>VBS38</v>
          </cell>
          <cell r="D759">
            <v>5056003700848</v>
          </cell>
          <cell r="E759" t="str">
            <v>16 litre Expansion Vessel (36-46kW)</v>
          </cell>
          <cell r="F759" t="str">
            <v>Vortex Pro 36-46KW</v>
          </cell>
          <cell r="G759">
            <v>119.83</v>
          </cell>
        </row>
        <row r="760">
          <cell r="C760" t="str">
            <v>VBSWINK10</v>
          </cell>
          <cell r="D760">
            <v>5056003739404</v>
          </cell>
          <cell r="E760" t="str">
            <v>10 litre Expansion Vessel</v>
          </cell>
          <cell r="F760" t="str">
            <v>Vortex Eco External system kit 15-21kW</v>
          </cell>
          <cell r="G760">
            <v>67.09</v>
          </cell>
        </row>
        <row r="761">
          <cell r="C761" t="str">
            <v>VBSWINK12E</v>
          </cell>
          <cell r="D761">
            <v>5056003739428</v>
          </cell>
          <cell r="E761" t="str">
            <v>12 litre Expansion Vessel (390mm dia)</v>
          </cell>
          <cell r="F761" t="str">
            <v>Vortex Pro System 26-36kW</v>
          </cell>
          <cell r="G761">
            <v>85.13</v>
          </cell>
        </row>
        <row r="762">
          <cell r="C762" t="str">
            <v>VBSWINK12H</v>
          </cell>
          <cell r="D762">
            <v>5056003739411</v>
          </cell>
          <cell r="E762" t="str">
            <v>12 litre Expansion Vessel c/w bracket</v>
          </cell>
          <cell r="F762" t="str">
            <v xml:space="preserve">Vortex Eco External system kit 15-35kW, Vortex Eco External 15-35kW,  Vortex Pro External 15-26kW, </v>
          </cell>
          <cell r="G762">
            <v>88.34</v>
          </cell>
        </row>
        <row r="763">
          <cell r="C763" t="str">
            <v>VBSWINK16</v>
          </cell>
          <cell r="D763">
            <v>5056003739435</v>
          </cell>
          <cell r="E763" t="str">
            <v>16 litre Expansion Vessel</v>
          </cell>
          <cell r="F763" t="str">
            <v>Vortex Pro System 36-46kW, Vortex Pro External system kit 26-46kW</v>
          </cell>
          <cell r="G763">
            <v>119.83</v>
          </cell>
        </row>
        <row r="764">
          <cell r="C764" t="str">
            <v>WBS07</v>
          </cell>
          <cell r="D764">
            <v>5056003700503</v>
          </cell>
          <cell r="E764" t="str">
            <v>8 litre Expansion Vessel</v>
          </cell>
          <cell r="F764" t="str">
            <v>Vortex Eco Wall Hung 12-21KW</v>
          </cell>
          <cell r="G764">
            <v>68.44</v>
          </cell>
        </row>
        <row r="765">
          <cell r="C765" t="str">
            <v>WBSWINK8</v>
          </cell>
          <cell r="D765">
            <v>5056003739398</v>
          </cell>
          <cell r="E765" t="str">
            <v>8 litre Expansion Vessel</v>
          </cell>
          <cell r="F765" t="str">
            <v>Vortex Eco Wall Hung 12-21KW</v>
          </cell>
          <cell r="G765">
            <v>68.44</v>
          </cell>
        </row>
        <row r="766">
          <cell r="C766" t="str">
            <v>GFV6515</v>
          </cell>
          <cell r="D766" t="str">
            <v>5056003777529</v>
          </cell>
          <cell r="E766" t="str">
            <v>65°C 1.5 metre fire valve c/w fittings</v>
          </cell>
          <cell r="G766">
            <v>56.47</v>
          </cell>
        </row>
        <row r="767">
          <cell r="C767" t="str">
            <v>GFV6530</v>
          </cell>
          <cell r="D767" t="str">
            <v>5056003776935</v>
          </cell>
          <cell r="E767" t="str">
            <v>65°C 3 metre fire valve c/w fittings</v>
          </cell>
          <cell r="G767">
            <v>60.04</v>
          </cell>
        </row>
        <row r="768">
          <cell r="C768" t="str">
            <v>GFV6560</v>
          </cell>
          <cell r="D768" t="str">
            <v>5056003777536</v>
          </cell>
          <cell r="E768" t="str">
            <v>65°C 6 metre fire valve c/w fittings</v>
          </cell>
          <cell r="G768">
            <v>67.83</v>
          </cell>
        </row>
        <row r="769">
          <cell r="C769" t="str">
            <v>GFV6590</v>
          </cell>
          <cell r="D769" t="str">
            <v>5056003777543</v>
          </cell>
          <cell r="E769" t="str">
            <v>65°C 9 metre fire valve c/w fittings</v>
          </cell>
          <cell r="G769">
            <v>75.11</v>
          </cell>
        </row>
        <row r="770">
          <cell r="C770" t="str">
            <v>GFV9020</v>
          </cell>
          <cell r="D770" t="str">
            <v>5056003777550</v>
          </cell>
          <cell r="E770" t="str">
            <v>90°C 2 metre fire valve c/w fittings</v>
          </cell>
          <cell r="G770">
            <v>58.07</v>
          </cell>
        </row>
        <row r="771">
          <cell r="C771" t="str">
            <v>GFV9030</v>
          </cell>
          <cell r="D771" t="str">
            <v>5056003776942</v>
          </cell>
          <cell r="E771" t="str">
            <v>90°C 3 metre fire valve c/w fittings</v>
          </cell>
          <cell r="G771">
            <v>60.04</v>
          </cell>
        </row>
        <row r="772">
          <cell r="C772" t="str">
            <v>GFV9060</v>
          </cell>
          <cell r="D772" t="str">
            <v>5056003777567</v>
          </cell>
          <cell r="E772" t="str">
            <v>90°C 6 metre fire valve c/w fittings</v>
          </cell>
          <cell r="G772">
            <v>67.83</v>
          </cell>
        </row>
        <row r="773">
          <cell r="C773" t="str">
            <v>GFV9090</v>
          </cell>
          <cell r="D773" t="str">
            <v>5056003777574</v>
          </cell>
          <cell r="E773" t="str">
            <v>90°C 9 metre fire valve c/w fittings</v>
          </cell>
          <cell r="G773">
            <v>75.11</v>
          </cell>
        </row>
        <row r="774">
          <cell r="C774" t="str">
            <v>FKS3402541</v>
          </cell>
          <cell r="D774">
            <v>5056003772142</v>
          </cell>
          <cell r="E774" t="str">
            <v>EZ Flue guard</v>
          </cell>
          <cell r="F774" t="str">
            <v>HLK01/02 high level flues</v>
          </cell>
          <cell r="G774">
            <v>106.99</v>
          </cell>
        </row>
        <row r="775">
          <cell r="C775" t="str">
            <v>FKS60</v>
          </cell>
          <cell r="D775">
            <v>5056003701531</v>
          </cell>
          <cell r="E775" t="str">
            <v>EZ Flue guard (stainless steel)</v>
          </cell>
          <cell r="F775" t="str">
            <v>EZ90/200 low level flues</v>
          </cell>
          <cell r="G775">
            <v>54.36</v>
          </cell>
        </row>
        <row r="776">
          <cell r="C776" t="str">
            <v>FKS60B</v>
          </cell>
          <cell r="D776">
            <v>5056003720709</v>
          </cell>
          <cell r="E776" t="str">
            <v>EZ Flue guard ( black)</v>
          </cell>
          <cell r="F776" t="str">
            <v>EZ90/200 low level flues</v>
          </cell>
          <cell r="G776">
            <v>63.01</v>
          </cell>
        </row>
        <row r="777">
          <cell r="C777" t="str">
            <v>FKS70</v>
          </cell>
          <cell r="D777">
            <v>5056003701296</v>
          </cell>
          <cell r="E777" t="str">
            <v>Flue guard</v>
          </cell>
          <cell r="F777" t="str">
            <v>Vortex external models</v>
          </cell>
          <cell r="G777">
            <v>63.39</v>
          </cell>
        </row>
        <row r="778">
          <cell r="C778" t="str">
            <v>MPCBS24</v>
          </cell>
          <cell r="D778">
            <v>5056003700565</v>
          </cell>
          <cell r="E778" t="str">
            <v>Water pressure Gauge</v>
          </cell>
          <cell r="F778" t="str">
            <v>Comb MKII Internal, Comb V3, Euroflame SYSTEM, Multipass Internal</v>
          </cell>
          <cell r="G778">
            <v>24.59</v>
          </cell>
        </row>
        <row r="779">
          <cell r="C779" t="str">
            <v>MPSS02</v>
          </cell>
          <cell r="D779">
            <v>5056003701562</v>
          </cell>
          <cell r="E779" t="str">
            <v>Water pressure Gauge</v>
          </cell>
          <cell r="F779" t="str">
            <v>Combi MK11, Multipass external, Vortex Pro External, Vortex Eco sealed system kit</v>
          </cell>
          <cell r="G779">
            <v>25.87</v>
          </cell>
        </row>
        <row r="780">
          <cell r="C780" t="str">
            <v>MPSS07</v>
          </cell>
          <cell r="D780">
            <v>5056003704440</v>
          </cell>
          <cell r="E780" t="str">
            <v>Pressure Gauge (with T-piece)</v>
          </cell>
          <cell r="F780" t="str">
            <v>MPSSKIT90/140/200</v>
          </cell>
          <cell r="G780">
            <v>48.68</v>
          </cell>
        </row>
        <row r="781">
          <cell r="C781" t="str">
            <v>VBS08</v>
          </cell>
          <cell r="D781">
            <v>5056003700473</v>
          </cell>
          <cell r="E781" t="str">
            <v>pressure Gauge (dark)</v>
          </cell>
          <cell r="F781" t="str">
            <v xml:space="preserve">Vortex Pro Internal, Vortex Pro Combi, Vortex Eco WallHung, </v>
          </cell>
          <cell r="G781">
            <v>53.13</v>
          </cell>
        </row>
        <row r="782">
          <cell r="C782" t="str">
            <v>VBS09</v>
          </cell>
          <cell r="D782">
            <v>5056003700923</v>
          </cell>
          <cell r="E782" t="str">
            <v>Temperature &amp; Pressure Gauge</v>
          </cell>
          <cell r="F782" t="str">
            <v xml:space="preserve">All Vortex models </v>
          </cell>
          <cell r="G782">
            <v>54.48</v>
          </cell>
        </row>
        <row r="783">
          <cell r="C783" t="str">
            <v>VBS13</v>
          </cell>
          <cell r="D783">
            <v>5056003703450</v>
          </cell>
          <cell r="E783" t="str">
            <v>Eco Gauge &amp; Valve</v>
          </cell>
          <cell r="F783" t="str">
            <v>Vortex Eco Sealed System Kit</v>
          </cell>
          <cell r="G783">
            <v>78.709999999999994</v>
          </cell>
        </row>
        <row r="784">
          <cell r="C784" t="str">
            <v>MPCBS30</v>
          </cell>
          <cell r="D784">
            <v>5056003700664</v>
          </cell>
          <cell r="E784" t="str">
            <v>Filling Loop Kit with Valves</v>
          </cell>
          <cell r="F784" t="str">
            <v>Comb MKII, CombiV3, Euroflame, Multipass, Vortex Pro Combi</v>
          </cell>
          <cell r="G784">
            <v>57.32</v>
          </cell>
        </row>
        <row r="785">
          <cell r="C785" t="str">
            <v>MPCBS31</v>
          </cell>
          <cell r="D785">
            <v>5056003702675</v>
          </cell>
          <cell r="E785" t="str">
            <v>Expansion Vessel Flexi Hose</v>
          </cell>
          <cell r="F785" t="str">
            <v>Comb MKII, Multipass Sealed System Kit</v>
          </cell>
          <cell r="G785">
            <v>24.59</v>
          </cell>
        </row>
        <row r="786">
          <cell r="C786" t="str">
            <v>MPCBS79</v>
          </cell>
          <cell r="D786">
            <v>5056003701593</v>
          </cell>
          <cell r="E786" t="str">
            <v>Expansion Vessel Flexi Hose</v>
          </cell>
          <cell r="F786" t="str">
            <v>Comb V3, Vortex Pro (EXCLUDING 15/21), Vortex Pro Combi 26-36KW (pre Dec 2014), Vortex Eco</v>
          </cell>
          <cell r="G786">
            <v>21.14</v>
          </cell>
        </row>
        <row r="787">
          <cell r="C787" t="str">
            <v>MPSS04</v>
          </cell>
          <cell r="D787">
            <v>5056003700657</v>
          </cell>
          <cell r="E787" t="str">
            <v>Expansion Vessel Flexi Hose</v>
          </cell>
          <cell r="F787" t="str">
            <v>Euroflame Sealed System Kit, Multipass</v>
          </cell>
          <cell r="G787">
            <v>24.59</v>
          </cell>
        </row>
        <row r="788">
          <cell r="C788" t="str">
            <v>VBS107</v>
          </cell>
          <cell r="D788">
            <v>5056003703047</v>
          </cell>
          <cell r="E788" t="str">
            <v xml:space="preserve">Flexi Condensate Hose </v>
          </cell>
          <cell r="F788" t="str">
            <v xml:space="preserve">Vortex Pro Internal 15/26, 26/36 &amp; 36/46, Vortex Pro Combi Internal (pre Dec 2014), Vortex Eco Internal </v>
          </cell>
          <cell r="G788">
            <v>13.59</v>
          </cell>
        </row>
        <row r="789">
          <cell r="C789" t="str">
            <v>VBS108</v>
          </cell>
          <cell r="D789">
            <v>5056003703054</v>
          </cell>
          <cell r="E789" t="str">
            <v xml:space="preserve">Flexi Condensate Hose </v>
          </cell>
          <cell r="F789" t="str">
            <v xml:space="preserve">Vortex Pro Internal 46-70KW, </v>
          </cell>
          <cell r="G789">
            <v>16.3</v>
          </cell>
        </row>
        <row r="790">
          <cell r="C790" t="str">
            <v>VBS109</v>
          </cell>
          <cell r="D790">
            <v>5056003703061</v>
          </cell>
          <cell r="E790" t="str">
            <v xml:space="preserve">Flexi Condensate Hose </v>
          </cell>
          <cell r="F790" t="str">
            <v>Vortex Pro External, Vortex Eco External, Vortex Pro Combi External, Vortex Boiler House</v>
          </cell>
          <cell r="G790">
            <v>13.59</v>
          </cell>
        </row>
        <row r="791">
          <cell r="C791" t="str">
            <v>VBS110</v>
          </cell>
          <cell r="D791">
            <v>5056003703078</v>
          </cell>
          <cell r="E791" t="str">
            <v xml:space="preserve">Flexi Condensate Hose </v>
          </cell>
          <cell r="F791" t="str">
            <v xml:space="preserve">Vortex Pro Internal 15-21KW </v>
          </cell>
          <cell r="G791">
            <v>13.59</v>
          </cell>
        </row>
        <row r="792">
          <cell r="C792" t="str">
            <v>VBS125</v>
          </cell>
          <cell r="D792">
            <v>5056003707595</v>
          </cell>
          <cell r="E792" t="str">
            <v>Expansion Vessel Flexi Hose</v>
          </cell>
          <cell r="F792" t="str">
            <v>Vortex Pro Combi (post Dec 2014)</v>
          </cell>
          <cell r="G792">
            <v>25.21</v>
          </cell>
        </row>
        <row r="793">
          <cell r="C793" t="str">
            <v>VBS127</v>
          </cell>
          <cell r="D793">
            <v>5056003703887</v>
          </cell>
          <cell r="E793" t="str">
            <v xml:space="preserve">Flexi Condensate Hose </v>
          </cell>
          <cell r="F793" t="str">
            <v>Vortex Pro Combi Internal (post Dec 2014)</v>
          </cell>
          <cell r="G793">
            <v>16.3</v>
          </cell>
        </row>
        <row r="794">
          <cell r="C794" t="str">
            <v>VBS35</v>
          </cell>
          <cell r="D794">
            <v>5056003701005</v>
          </cell>
          <cell r="E794" t="str">
            <v>Filling Loop Kit with Valves</v>
          </cell>
          <cell r="F794" t="str">
            <v>Vortex Pro</v>
          </cell>
          <cell r="G794">
            <v>61.28</v>
          </cell>
        </row>
        <row r="795">
          <cell r="C795" t="str">
            <v>VBS35X</v>
          </cell>
          <cell r="D795">
            <v>5056003708455</v>
          </cell>
          <cell r="E795" t="str">
            <v>Filling Loop Kit with Valves</v>
          </cell>
          <cell r="F795" t="str">
            <v>Vortex Eco Sealed System Kit</v>
          </cell>
          <cell r="G795">
            <v>78.08</v>
          </cell>
        </row>
        <row r="796">
          <cell r="C796" t="str">
            <v>VBS95</v>
          </cell>
          <cell r="D796">
            <v>5056003703566</v>
          </cell>
          <cell r="E796" t="str">
            <v>Expansion Vessel Flexi Hose</v>
          </cell>
          <cell r="F796" t="str">
            <v>Vortex Pro External 15-21KW, Vortex Combi 21KW (pre Dec 2014)</v>
          </cell>
          <cell r="G796">
            <v>24.59</v>
          </cell>
        </row>
        <row r="797">
          <cell r="C797" t="str">
            <v>WBS08</v>
          </cell>
          <cell r="D797">
            <v>5056003700510</v>
          </cell>
          <cell r="E797" t="str">
            <v>Expansion Vessel Flexi Hose</v>
          </cell>
          <cell r="F797" t="str">
            <v>Vortex Eco Wall Hung 12-21KW</v>
          </cell>
          <cell r="G797">
            <v>25.82</v>
          </cell>
        </row>
        <row r="798">
          <cell r="C798" t="str">
            <v>EFBS14</v>
          </cell>
          <cell r="D798">
            <v>5056003700596</v>
          </cell>
          <cell r="E798" t="str">
            <v>Nut and Washer Set Cleaning Door</v>
          </cell>
          <cell r="F798" t="str">
            <v>Comb MKII, Comb V3, Euroflame, Multipass, Vortex Boiler House, Vortex Pro Combi</v>
          </cell>
          <cell r="G798">
            <v>8.15</v>
          </cell>
        </row>
        <row r="799">
          <cell r="C799" t="str">
            <v>EFBS29X</v>
          </cell>
          <cell r="D799">
            <v>5056003700695</v>
          </cell>
          <cell r="E799" t="str">
            <v>Chrome Handle Assembly</v>
          </cell>
          <cell r="F799" t="str">
            <v>Euroflame External, Multipass External</v>
          </cell>
          <cell r="G799">
            <v>17.59</v>
          </cell>
        </row>
        <row r="800">
          <cell r="C800" t="str">
            <v>FKS10</v>
          </cell>
          <cell r="D800">
            <v>5056003703092</v>
          </cell>
          <cell r="E800" t="str">
            <v>BASE PAD EF/MP</v>
          </cell>
          <cell r="F800" t="str">
            <v xml:space="preserve">MP &amp; EF boilers </v>
          </cell>
          <cell r="G800">
            <v>38.18</v>
          </cell>
        </row>
        <row r="801">
          <cell r="C801" t="str">
            <v>FKS10A</v>
          </cell>
          <cell r="D801">
            <v>5056003704280</v>
          </cell>
          <cell r="E801" t="str">
            <v>BASE PAD VORTEX</v>
          </cell>
          <cell r="F801" t="str">
            <v xml:space="preserve">Vortex boilers </v>
          </cell>
          <cell r="G801">
            <v>40.89</v>
          </cell>
        </row>
        <row r="802">
          <cell r="C802" t="str">
            <v>FKS24</v>
          </cell>
          <cell r="D802">
            <v>5056003701524</v>
          </cell>
          <cell r="E802" t="str">
            <v>Aluminium Flue Sealing Tape</v>
          </cell>
          <cell r="F802" t="str">
            <v>All models</v>
          </cell>
          <cell r="G802">
            <v>37.200000000000003</v>
          </cell>
        </row>
        <row r="803">
          <cell r="C803" t="str">
            <v>FKS35</v>
          </cell>
          <cell r="D803">
            <v>5056003700497</v>
          </cell>
          <cell r="E803" t="str">
            <v>Snorkel Tube</v>
          </cell>
          <cell r="F803" t="str">
            <v>All Internal models</v>
          </cell>
          <cell r="G803">
            <v>34.729999999999997</v>
          </cell>
        </row>
        <row r="804">
          <cell r="C804" t="str">
            <v>FKS53</v>
          </cell>
          <cell r="D804">
            <v>5056003720662</v>
          </cell>
          <cell r="E804" t="str">
            <v>Red flue seal</v>
          </cell>
          <cell r="F804" t="str">
            <v>High level/Vertical balanced Flue up to 26kW</v>
          </cell>
          <cell r="G804">
            <v>5.44</v>
          </cell>
        </row>
        <row r="805">
          <cell r="C805" t="str">
            <v>FKS54</v>
          </cell>
          <cell r="D805">
            <v>5056003720679</v>
          </cell>
          <cell r="E805" t="str">
            <v>Red flue seal</v>
          </cell>
          <cell r="F805" t="str">
            <v>High level/Vertical balanced Flue 26-70kW</v>
          </cell>
          <cell r="G805">
            <v>6.81</v>
          </cell>
        </row>
        <row r="806">
          <cell r="C806" t="str">
            <v>FKS55</v>
          </cell>
          <cell r="D806">
            <v>5056003720686</v>
          </cell>
          <cell r="E806" t="str">
            <v>Black flue seal</v>
          </cell>
          <cell r="F806" t="str">
            <v>High level/Vertical balanced Flue up to 26kW</v>
          </cell>
          <cell r="G806">
            <v>7.41</v>
          </cell>
        </row>
        <row r="807">
          <cell r="C807" t="str">
            <v>FKS56</v>
          </cell>
          <cell r="D807">
            <v>5056003720693</v>
          </cell>
          <cell r="E807" t="str">
            <v>Black flue seal</v>
          </cell>
          <cell r="F807" t="str">
            <v>High level/Vertical balanced Flue 26-70kW</v>
          </cell>
          <cell r="G807" t="str">
            <v>POA</v>
          </cell>
        </row>
        <row r="808">
          <cell r="C808" t="str">
            <v>FKS61</v>
          </cell>
          <cell r="D808">
            <v>5056003720716</v>
          </cell>
          <cell r="E808" t="str">
            <v>Red flue seal</v>
          </cell>
          <cell r="F808" t="str">
            <v>Low level balanced flue up to 26kW</v>
          </cell>
          <cell r="G808">
            <v>4.67</v>
          </cell>
        </row>
        <row r="809">
          <cell r="C809" t="str">
            <v>FKS62</v>
          </cell>
          <cell r="D809">
            <v>5056003720723</v>
          </cell>
          <cell r="E809" t="str">
            <v>Black flue seal</v>
          </cell>
          <cell r="F809" t="str">
            <v>Low level balanced flue up to 26kW</v>
          </cell>
          <cell r="G809">
            <v>4.9000000000000004</v>
          </cell>
        </row>
        <row r="810">
          <cell r="C810" t="str">
            <v>FKS63</v>
          </cell>
          <cell r="D810">
            <v>5056003720730</v>
          </cell>
          <cell r="E810" t="str">
            <v>Red flue seal</v>
          </cell>
          <cell r="F810" t="str">
            <v>Low level balanced flue 26-70kW</v>
          </cell>
          <cell r="G810">
            <v>6.06</v>
          </cell>
        </row>
        <row r="811">
          <cell r="C811" t="str">
            <v>FKS64</v>
          </cell>
          <cell r="D811">
            <v>5056003720747</v>
          </cell>
          <cell r="E811" t="str">
            <v>Black flue seal</v>
          </cell>
          <cell r="F811" t="str">
            <v>Low level balanced flue 26-70kW</v>
          </cell>
          <cell r="G811">
            <v>7.41</v>
          </cell>
        </row>
        <row r="812">
          <cell r="C812" t="str">
            <v>FKS89</v>
          </cell>
          <cell r="D812">
            <v>5056003722734</v>
          </cell>
          <cell r="E812" t="str">
            <v>INSULATION BOILER 120CM x 60CM (1XSHEET)</v>
          </cell>
          <cell r="F812" t="str">
            <v xml:space="preserve">Oil boilers </v>
          </cell>
          <cell r="G812">
            <v>34.1</v>
          </cell>
        </row>
        <row r="813">
          <cell r="C813" t="str">
            <v>FKS92</v>
          </cell>
          <cell r="D813">
            <v>5056003703023</v>
          </cell>
          <cell r="E813" t="str">
            <v>Black Neoprene Gasket Flue Spigot</v>
          </cell>
          <cell r="F813" t="str">
            <v>Vortex Pro 15- 26KW</v>
          </cell>
          <cell r="G813">
            <v>6.43</v>
          </cell>
        </row>
        <row r="814">
          <cell r="C814" t="str">
            <v>FKS94</v>
          </cell>
          <cell r="D814">
            <v>5056003707199</v>
          </cell>
          <cell r="E814" t="str">
            <v>Black Neoprene Gasket Flue Spigot</v>
          </cell>
          <cell r="F814" t="str">
            <v>Vortex Pro 26- 70KW, Vortex Eco External 26-35kW</v>
          </cell>
          <cell r="G814">
            <v>9.31</v>
          </cell>
        </row>
        <row r="815">
          <cell r="C815" t="str">
            <v>FKS94A</v>
          </cell>
          <cell r="D815">
            <v>5056003707205</v>
          </cell>
          <cell r="E815" t="str">
            <v>Black Neoprene Gasket Flue Spigot</v>
          </cell>
          <cell r="F815" t="str">
            <v xml:space="preserve">Vortex Eco Internal 26-35kW </v>
          </cell>
          <cell r="G815">
            <v>9.31</v>
          </cell>
        </row>
        <row r="816">
          <cell r="C816" t="str">
            <v>MPBS23</v>
          </cell>
          <cell r="D816">
            <v>5056003704266</v>
          </cell>
          <cell r="E816" t="str">
            <v>Magnetic Door Catch</v>
          </cell>
          <cell r="F816" t="str">
            <v>Vortex WallHung</v>
          </cell>
          <cell r="G816">
            <v>6.13</v>
          </cell>
        </row>
        <row r="817">
          <cell r="C817" t="str">
            <v>MPCBS122/A</v>
          </cell>
          <cell r="D817">
            <v>5056003773491</v>
          </cell>
          <cell r="E817" t="str">
            <v>Metal Top Hat Washer Set (3 small, 3 medium)</v>
          </cell>
          <cell r="F817" t="str">
            <v>all models</v>
          </cell>
          <cell r="G817">
            <v>8.5299999999999994</v>
          </cell>
        </row>
        <row r="818">
          <cell r="C818" t="str">
            <v>MPCBS21/A</v>
          </cell>
          <cell r="D818">
            <v>5056003772999</v>
          </cell>
          <cell r="E818" t="str">
            <v>15 Plate Heat Exchanger</v>
          </cell>
          <cell r="F818" t="str">
            <v>COMB MKII</v>
          </cell>
          <cell r="G818">
            <v>181.49</v>
          </cell>
        </row>
        <row r="819">
          <cell r="C819" t="str">
            <v>MPCBS33/A</v>
          </cell>
          <cell r="D819">
            <v>5056003773002</v>
          </cell>
          <cell r="E819" t="str">
            <v>Diaphragm Kit</v>
          </cell>
          <cell r="F819" t="str">
            <v>Comb MKII, Comb V3</v>
          </cell>
          <cell r="G819">
            <v>66.72</v>
          </cell>
        </row>
        <row r="820">
          <cell r="C820" t="str">
            <v>MPCBS35</v>
          </cell>
          <cell r="D820">
            <v>5056003704556</v>
          </cell>
          <cell r="E820" t="str">
            <v>Microswitch Circlip (for diverter valve)</v>
          </cell>
          <cell r="F820" t="str">
            <v>Comb MKII, Comb V3</v>
          </cell>
          <cell r="G820">
            <v>2.71</v>
          </cell>
        </row>
        <row r="821">
          <cell r="C821" t="str">
            <v>MPCBS35X</v>
          </cell>
          <cell r="D821">
            <v>5056003704662</v>
          </cell>
          <cell r="E821" t="str">
            <v>6.3A Fuses (for PCB) (5 pack)</v>
          </cell>
          <cell r="F821" t="str">
            <v>Comb V3, Vortex Pro Combi</v>
          </cell>
          <cell r="G821">
            <v>9.14</v>
          </cell>
        </row>
        <row r="822">
          <cell r="C822" t="str">
            <v>MPCBS39</v>
          </cell>
          <cell r="D822">
            <v>5056003700800</v>
          </cell>
          <cell r="E822" t="str">
            <v>Flow Restrictor</v>
          </cell>
          <cell r="F822" t="str">
            <v>All Combi models</v>
          </cell>
          <cell r="G822">
            <v>4.16</v>
          </cell>
        </row>
        <row r="823">
          <cell r="C823" t="str">
            <v>MPCBS53/A</v>
          </cell>
          <cell r="D823">
            <v>5056003773019</v>
          </cell>
          <cell r="E823" t="str">
            <v>Plate Heat Exchanger (35 plate)</v>
          </cell>
          <cell r="F823" t="str">
            <v>Comb V3, Vortex Pro Combi</v>
          </cell>
          <cell r="G823">
            <v>222.02</v>
          </cell>
        </row>
        <row r="824">
          <cell r="C824" t="str">
            <v>VBS17</v>
          </cell>
          <cell r="D824">
            <v>5056003700992</v>
          </cell>
          <cell r="E824" t="str">
            <v>High Temperature Vortex Silicone Sealant (black)</v>
          </cell>
          <cell r="F824" t="str">
            <v>All models</v>
          </cell>
          <cell r="G824">
            <v>54.74</v>
          </cell>
        </row>
        <row r="825">
          <cell r="C825" t="str">
            <v>VBS18</v>
          </cell>
          <cell r="D825">
            <v>5056003700527</v>
          </cell>
          <cell r="E825" t="str">
            <v>Cleaning Brush for Vortex</v>
          </cell>
          <cell r="F825" t="str">
            <v>All Vortex models</v>
          </cell>
          <cell r="G825">
            <v>25.69</v>
          </cell>
        </row>
        <row r="826">
          <cell r="C826" t="str">
            <v>GOIL01</v>
          </cell>
          <cell r="D826">
            <v>5056003780970</v>
          </cell>
          <cell r="E826" t="str">
            <v>Grant Oil Drip Tray c/w 5 ultra absorbent pads</v>
          </cell>
          <cell r="F826" t="str">
            <v xml:space="preserve">Oil boilers </v>
          </cell>
          <cell r="G826">
            <v>27.17</v>
          </cell>
        </row>
        <row r="827">
          <cell r="C827" t="str">
            <v>GOIL02</v>
          </cell>
          <cell r="D827">
            <v>5056003780987</v>
          </cell>
          <cell r="E827" t="str">
            <v>Grant pack 20 ultra absorbent pads ( for oil trays )</v>
          </cell>
          <cell r="F827" t="str">
            <v xml:space="preserve">Oil boilers </v>
          </cell>
          <cell r="G827">
            <v>16.93</v>
          </cell>
        </row>
        <row r="828">
          <cell r="C828" t="str">
            <v>GOIL03</v>
          </cell>
          <cell r="D828">
            <v>5056003780994</v>
          </cell>
          <cell r="E828" t="str">
            <v>Grant 1/4'' Bio Approved Oil Filter c/w 10mm x 1/4'' MI Fitting</v>
          </cell>
          <cell r="F828" t="str">
            <v xml:space="preserve">Oil boilers </v>
          </cell>
          <cell r="G828">
            <v>35.020000000000003</v>
          </cell>
        </row>
        <row r="829">
          <cell r="C829" t="str">
            <v>GOIL04</v>
          </cell>
          <cell r="D829">
            <v>5056003781007</v>
          </cell>
          <cell r="E829" t="str">
            <v xml:space="preserve">Grant 1/4'' Bio Approved Oil Filter 489 ( only )  </v>
          </cell>
          <cell r="F829" t="str">
            <v xml:space="preserve">Oil boilers </v>
          </cell>
          <cell r="G829">
            <v>32.43</v>
          </cell>
        </row>
        <row r="830">
          <cell r="C830" t="str">
            <v>GOIL05</v>
          </cell>
          <cell r="D830">
            <v>5056003781014</v>
          </cell>
          <cell r="E830" t="str">
            <v>Grant 3/8'' Bio Approved Oil Filter 489 (Only )</v>
          </cell>
          <cell r="F830" t="str">
            <v xml:space="preserve">Oil boilers </v>
          </cell>
          <cell r="G830">
            <v>32.43</v>
          </cell>
        </row>
        <row r="831">
          <cell r="C831" t="str">
            <v>GOIL06</v>
          </cell>
          <cell r="D831">
            <v>5056003781045</v>
          </cell>
          <cell r="E831" t="str">
            <v>Grant Bio Filter Element &amp; Seals (for 489 Filters )</v>
          </cell>
          <cell r="F831" t="str">
            <v xml:space="preserve">Oil boilers </v>
          </cell>
          <cell r="G831">
            <v>10.38</v>
          </cell>
        </row>
        <row r="832">
          <cell r="C832" t="str">
            <v>GOIL07</v>
          </cell>
          <cell r="D832">
            <v>5056003781335</v>
          </cell>
          <cell r="E832" t="str">
            <v>Grant 3/8'' Bio Approved Oil Filter c/w 10mm x 3/8'' MI Fittings</v>
          </cell>
          <cell r="F832" t="str">
            <v xml:space="preserve">Oil boilers </v>
          </cell>
          <cell r="G832">
            <v>35.619999999999997</v>
          </cell>
        </row>
        <row r="833">
          <cell r="C833" t="str">
            <v>GUNI002</v>
          </cell>
          <cell r="D833">
            <v>5056003781038</v>
          </cell>
          <cell r="E833" t="str">
            <v>10mm x 1/4'' M I Straight fitting</v>
          </cell>
          <cell r="F833" t="str">
            <v xml:space="preserve">Oil boilers </v>
          </cell>
          <cell r="G833">
            <v>1.29</v>
          </cell>
        </row>
        <row r="834">
          <cell r="C834" t="str">
            <v>GUNI003</v>
          </cell>
          <cell r="D834">
            <v>5056003781182</v>
          </cell>
          <cell r="E834" t="str">
            <v>10mm x 3/8'' M I Straight fitting</v>
          </cell>
          <cell r="F834" t="str">
            <v xml:space="preserve">Oil boilers </v>
          </cell>
          <cell r="G834">
            <v>1.8</v>
          </cell>
        </row>
        <row r="835">
          <cell r="C835" t="str">
            <v>DEL5060W</v>
          </cell>
          <cell r="D835">
            <v>5056003779394</v>
          </cell>
          <cell r="E835" t="str">
            <v>DELAVAN NOZZLE 0.50 GPH 60°W</v>
          </cell>
          <cell r="F835" t="str">
            <v xml:space="preserve">Oil boilers </v>
          </cell>
          <cell r="G835">
            <v>16.86</v>
          </cell>
        </row>
        <row r="836">
          <cell r="C836" t="str">
            <v>DEL5080W</v>
          </cell>
          <cell r="D836">
            <v>5056003779189</v>
          </cell>
          <cell r="E836" t="str">
            <v>DELAVAN NOZZLE 0.50 GPH 80°W</v>
          </cell>
          <cell r="F836" t="str">
            <v xml:space="preserve">Oil boilers </v>
          </cell>
          <cell r="G836">
            <v>16.86</v>
          </cell>
        </row>
        <row r="837">
          <cell r="C837" t="str">
            <v>DEL5560W</v>
          </cell>
          <cell r="D837">
            <v>5056003779219</v>
          </cell>
          <cell r="E837" t="str">
            <v>DELAVAN NOZZLE 0.55 GPH 60°W</v>
          </cell>
          <cell r="F837" t="str">
            <v xml:space="preserve">Oil boilers </v>
          </cell>
          <cell r="G837">
            <v>16.86</v>
          </cell>
        </row>
        <row r="838">
          <cell r="C838" t="str">
            <v>DEL5580W</v>
          </cell>
          <cell r="D838">
            <v>5056003779226</v>
          </cell>
          <cell r="E838" t="str">
            <v>DELAVAN NOZZLE 0.55 GPH 80°W</v>
          </cell>
          <cell r="F838" t="str">
            <v xml:space="preserve">Oil boilers </v>
          </cell>
          <cell r="G838">
            <v>16.86</v>
          </cell>
        </row>
        <row r="839">
          <cell r="C839" t="str">
            <v>DEL6060W</v>
          </cell>
          <cell r="D839">
            <v>5056003779400</v>
          </cell>
          <cell r="E839" t="str">
            <v>DELAVAN NOZZLE 0.60 GPH 60°W</v>
          </cell>
          <cell r="F839" t="str">
            <v xml:space="preserve">Oil boilers </v>
          </cell>
          <cell r="G839">
            <v>16.86</v>
          </cell>
        </row>
        <row r="840">
          <cell r="C840" t="str">
            <v>DEL6080W</v>
          </cell>
          <cell r="D840">
            <v>5056003779196</v>
          </cell>
          <cell r="E840" t="str">
            <v>DELAVAN NOZZLE 0.60 GPH 80°W</v>
          </cell>
          <cell r="F840" t="str">
            <v xml:space="preserve">Oil boilers </v>
          </cell>
          <cell r="G840">
            <v>16.86</v>
          </cell>
        </row>
        <row r="841">
          <cell r="C841" t="str">
            <v>DEL6560W</v>
          </cell>
          <cell r="D841">
            <v>5056003779417</v>
          </cell>
          <cell r="E841" t="str">
            <v>DELAVAN NOZZLE 0.65 GPH 60°W</v>
          </cell>
          <cell r="F841" t="str">
            <v xml:space="preserve">Oil boilers </v>
          </cell>
          <cell r="G841">
            <v>16.86</v>
          </cell>
        </row>
        <row r="842">
          <cell r="C842" t="str">
            <v>DEL6580W</v>
          </cell>
          <cell r="D842">
            <v>5056003779202</v>
          </cell>
          <cell r="E842" t="str">
            <v>DELAVAN NOZZLE 0.65 GPH 80°W</v>
          </cell>
          <cell r="F842" t="str">
            <v xml:space="preserve">Oil boilers </v>
          </cell>
          <cell r="G842">
            <v>16.86</v>
          </cell>
        </row>
        <row r="843">
          <cell r="C843" t="str">
            <v>DEL7560W</v>
          </cell>
          <cell r="D843">
            <v>5056003779233</v>
          </cell>
          <cell r="E843" t="str">
            <v>DELAVAN NOZZLE 0.75 GPH 60°W</v>
          </cell>
          <cell r="F843" t="str">
            <v xml:space="preserve">Oil boilers </v>
          </cell>
          <cell r="G843">
            <v>16.86</v>
          </cell>
        </row>
        <row r="844">
          <cell r="C844" t="str">
            <v>DEL8570W</v>
          </cell>
          <cell r="D844">
            <v>5056003779264</v>
          </cell>
          <cell r="E844" t="str">
            <v>DELAVAN NOZZLE 0.85 GPH 70°W</v>
          </cell>
          <cell r="F844" t="str">
            <v xml:space="preserve">Oil boilers </v>
          </cell>
          <cell r="G844">
            <v>16.86</v>
          </cell>
        </row>
        <row r="845">
          <cell r="C845" t="str">
            <v>DEL10080W</v>
          </cell>
          <cell r="D845">
            <v>5056003779288</v>
          </cell>
          <cell r="E845" t="str">
            <v>DELAVAN NOZZLE 1.00 GPH 80°W</v>
          </cell>
          <cell r="F845" t="str">
            <v xml:space="preserve">Oil boilers </v>
          </cell>
          <cell r="G845">
            <v>16.86</v>
          </cell>
        </row>
        <row r="846">
          <cell r="C846" t="str">
            <v>DEL11060W</v>
          </cell>
          <cell r="D846">
            <v>5056003779608</v>
          </cell>
          <cell r="E846" t="str">
            <v>DELAVAN NOZZLE 1.10 GPH 60°W</v>
          </cell>
          <cell r="F846" t="str">
            <v xml:space="preserve">Oil boilers </v>
          </cell>
          <cell r="G846">
            <v>16.86</v>
          </cell>
        </row>
        <row r="847">
          <cell r="C847" t="str">
            <v>DEL11080W</v>
          </cell>
          <cell r="D847">
            <v>5056003779295</v>
          </cell>
          <cell r="E847" t="str">
            <v>DELAVAN NOZZLE 1.10 GPH 80°W</v>
          </cell>
          <cell r="F847" t="str">
            <v xml:space="preserve">Oil boilers </v>
          </cell>
          <cell r="G847">
            <v>16.86</v>
          </cell>
        </row>
        <row r="848">
          <cell r="C848" t="str">
            <v>DEL12560W</v>
          </cell>
          <cell r="D848">
            <v>5056003779318</v>
          </cell>
          <cell r="E848" t="str">
            <v>DELAVAN NOZZLE 1.25 GPH 60°W</v>
          </cell>
          <cell r="F848" t="str">
            <v xml:space="preserve">Oil boilers </v>
          </cell>
          <cell r="G848">
            <v>16.86</v>
          </cell>
        </row>
        <row r="849">
          <cell r="C849" t="str">
            <v>DEL13545W</v>
          </cell>
          <cell r="D849">
            <v>5056003779349</v>
          </cell>
          <cell r="E849" t="str">
            <v>DELAVAN NOZZLE 1.35 GPH 45°W</v>
          </cell>
          <cell r="F849" t="str">
            <v xml:space="preserve">Oil boilers </v>
          </cell>
          <cell r="G849">
            <v>16.86</v>
          </cell>
        </row>
        <row r="850">
          <cell r="C850" t="str">
            <v>DEL13560W</v>
          </cell>
          <cell r="D850">
            <v>5056003779301</v>
          </cell>
          <cell r="E850" t="str">
            <v>DELAVAN NOZZLE 1.35 GPH 60°W</v>
          </cell>
          <cell r="F850" t="str">
            <v xml:space="preserve">Oil boilers </v>
          </cell>
          <cell r="G850">
            <v>16.86</v>
          </cell>
        </row>
        <row r="851">
          <cell r="C851" t="str">
            <v>DEL15060W</v>
          </cell>
          <cell r="D851">
            <v>5056003779325</v>
          </cell>
          <cell r="E851" t="str">
            <v>DELAVAN NOZZLE 1.50 GPH 60°W</v>
          </cell>
          <cell r="F851" t="str">
            <v xml:space="preserve">Oil boilers </v>
          </cell>
          <cell r="G851">
            <v>16.86</v>
          </cell>
        </row>
        <row r="852">
          <cell r="C852" t="str">
            <v>DEL17560W</v>
          </cell>
          <cell r="D852">
            <v>5056003779332</v>
          </cell>
          <cell r="E852" t="str">
            <v>DELAVAN NOZZLE 1.75 GPH 60°W</v>
          </cell>
          <cell r="F852" t="str">
            <v xml:space="preserve">Oil boilers </v>
          </cell>
          <cell r="G852">
            <v>16.86</v>
          </cell>
        </row>
        <row r="853">
          <cell r="C853" t="str">
            <v>DEL20060W</v>
          </cell>
          <cell r="D853">
            <v>5056003779356</v>
          </cell>
          <cell r="E853" t="str">
            <v>DELAVAN NOZZLE 2.00 GPH 60°W</v>
          </cell>
          <cell r="F853" t="str">
            <v xml:space="preserve">Oil boilers </v>
          </cell>
          <cell r="G853">
            <v>16.86</v>
          </cell>
        </row>
        <row r="854">
          <cell r="C854" t="str">
            <v>DEL22560W</v>
          </cell>
          <cell r="D854">
            <v>5056003779363</v>
          </cell>
          <cell r="E854" t="str">
            <v>DELAVAN NOZZLE 2.25 GPH 60°W</v>
          </cell>
          <cell r="F854" t="str">
            <v xml:space="preserve">Oil boilers </v>
          </cell>
          <cell r="G854">
            <v>16.86</v>
          </cell>
        </row>
        <row r="855">
          <cell r="C855" t="str">
            <v>DEL25060W</v>
          </cell>
          <cell r="D855">
            <v>5056003779370</v>
          </cell>
          <cell r="E855" t="str">
            <v>DELAVAN NOZZLE 2.50 GPH 60°W</v>
          </cell>
          <cell r="F855" t="str">
            <v xml:space="preserve">Oil boilers </v>
          </cell>
          <cell r="G855">
            <v>16.86</v>
          </cell>
        </row>
        <row r="856">
          <cell r="C856" t="str">
            <v>DEL45060W</v>
          </cell>
          <cell r="D856">
            <v>5056003779387</v>
          </cell>
          <cell r="E856" t="str">
            <v>DELAVAN NOZZLE 4.50 GPH 60°W</v>
          </cell>
          <cell r="F856" t="str">
            <v xml:space="preserve">Oil boilers </v>
          </cell>
          <cell r="G856">
            <v>16.86</v>
          </cell>
        </row>
        <row r="857">
          <cell r="C857" t="str">
            <v>DEL8580W</v>
          </cell>
          <cell r="D857">
            <v>5056003779257</v>
          </cell>
          <cell r="E857" t="str">
            <v>DELAVAN NOZZLE 0.85 GPH 80°W</v>
          </cell>
          <cell r="F857" t="str">
            <v xml:space="preserve">Oil boilers </v>
          </cell>
          <cell r="G857">
            <v>16.86</v>
          </cell>
        </row>
        <row r="858">
          <cell r="C858" t="str">
            <v>DEL7580W</v>
          </cell>
          <cell r="D858">
            <v>5056003779240</v>
          </cell>
          <cell r="E858" t="str">
            <v>DELAVAN NOZZLE 0.75 GPH 80°W</v>
          </cell>
          <cell r="F858" t="str">
            <v xml:space="preserve">Oil boilers </v>
          </cell>
          <cell r="G858">
            <v>16.86</v>
          </cell>
        </row>
        <row r="859">
          <cell r="C859" t="str">
            <v>DEL10060W</v>
          </cell>
          <cell r="D859">
            <v>5056003779271</v>
          </cell>
          <cell r="E859" t="str">
            <v>DELAVAN NOZZLE 1.00 GPH 60°W</v>
          </cell>
          <cell r="F859" t="str">
            <v xml:space="preserve">Oil boilers </v>
          </cell>
          <cell r="G859">
            <v>16.86</v>
          </cell>
        </row>
        <row r="860">
          <cell r="C860" t="str">
            <v>GN3580H</v>
          </cell>
          <cell r="D860">
            <v>5056003778984</v>
          </cell>
          <cell r="E860" t="str">
            <v>DANFOSS NOZZLE OIL 0.35GAL/80H</v>
          </cell>
          <cell r="F860" t="str">
            <v xml:space="preserve">Oil boilers </v>
          </cell>
          <cell r="G860">
            <v>16.86</v>
          </cell>
        </row>
        <row r="861">
          <cell r="C861" t="str">
            <v>GN3580S</v>
          </cell>
          <cell r="D861">
            <v>5056003779493</v>
          </cell>
          <cell r="E861" t="str">
            <v>DANFOSS NOZZLE OIL 0.35GAL/80S</v>
          </cell>
          <cell r="F861" t="str">
            <v xml:space="preserve">Oil boilers </v>
          </cell>
          <cell r="G861">
            <v>16.86</v>
          </cell>
        </row>
        <row r="862">
          <cell r="C862" t="str">
            <v>GN4060ES</v>
          </cell>
          <cell r="D862">
            <v>5056003778434</v>
          </cell>
          <cell r="E862" t="str">
            <v>DANFOSS NOZZLE OIL 0.40GAL/60ES</v>
          </cell>
          <cell r="F862" t="str">
            <v xml:space="preserve">Oil boilers </v>
          </cell>
          <cell r="G862">
            <v>16.86</v>
          </cell>
        </row>
        <row r="863">
          <cell r="C863" t="str">
            <v>GN4060S</v>
          </cell>
          <cell r="D863">
            <v>5056003778526</v>
          </cell>
          <cell r="E863" t="str">
            <v>DANFOSS NOZZLE OIL 0.40GAL/60S</v>
          </cell>
          <cell r="F863" t="str">
            <v xml:space="preserve">Oil boilers </v>
          </cell>
          <cell r="G863">
            <v>16.86</v>
          </cell>
        </row>
        <row r="864">
          <cell r="C864" t="str">
            <v>GN4080EH</v>
          </cell>
          <cell r="D864">
            <v>5056003779004</v>
          </cell>
          <cell r="E864" t="str">
            <v>DANFOSS NOZZLE OIL 0.40GAL/80EH</v>
          </cell>
          <cell r="F864" t="str">
            <v xml:space="preserve">Oil boilers </v>
          </cell>
          <cell r="G864">
            <v>16.86</v>
          </cell>
        </row>
        <row r="865">
          <cell r="C865" t="str">
            <v>GN4080ES</v>
          </cell>
          <cell r="D865">
            <v>5056003778663</v>
          </cell>
          <cell r="E865" t="str">
            <v>DANFOSS NOZZLE OIL 0.40GAL/80ES</v>
          </cell>
          <cell r="F865" t="str">
            <v xml:space="preserve">Oil boilers </v>
          </cell>
          <cell r="G865">
            <v>16.86</v>
          </cell>
        </row>
        <row r="866">
          <cell r="C866" t="str">
            <v>GN4080S</v>
          </cell>
          <cell r="D866">
            <v>5056003778755</v>
          </cell>
          <cell r="E866" t="str">
            <v>DANFOSS NOZZLE OIL 0.40GAL/80S</v>
          </cell>
          <cell r="F866" t="str">
            <v xml:space="preserve">Oil boilers </v>
          </cell>
          <cell r="G866">
            <v>16.86</v>
          </cell>
        </row>
        <row r="867">
          <cell r="C867" t="str">
            <v>GN4560ES</v>
          </cell>
          <cell r="D867">
            <v>5056003779424</v>
          </cell>
          <cell r="E867" t="str">
            <v>DANFOSS NOZZLE OIL 0.45GAL/60ES</v>
          </cell>
          <cell r="F867" t="str">
            <v xml:space="preserve">Oil boilers </v>
          </cell>
          <cell r="G867">
            <v>16.86</v>
          </cell>
        </row>
        <row r="868">
          <cell r="C868" t="str">
            <v>GN4580EH</v>
          </cell>
          <cell r="D868">
            <v>5056003779011</v>
          </cell>
          <cell r="E868" t="str">
            <v>DANFOSS NOZZLE OIL 0.45GAL/80EH</v>
          </cell>
          <cell r="F868" t="str">
            <v xml:space="preserve">Oil boilers </v>
          </cell>
          <cell r="G868">
            <v>16.86</v>
          </cell>
        </row>
        <row r="869">
          <cell r="C869" t="str">
            <v>GN4580ES</v>
          </cell>
          <cell r="D869">
            <v>5056003779509</v>
          </cell>
          <cell r="E869" t="str">
            <v>DANFOSS NOZZLE OIL 0.45GAL/80ES</v>
          </cell>
          <cell r="F869" t="str">
            <v xml:space="preserve">Oil boilers </v>
          </cell>
          <cell r="G869">
            <v>16.86</v>
          </cell>
        </row>
        <row r="870">
          <cell r="C870" t="str">
            <v>GN5060EH</v>
          </cell>
          <cell r="D870">
            <v>5056003778854</v>
          </cell>
          <cell r="E870" t="str">
            <v>DANFOSS NOZZLE OIL 0.50GAL/60EH</v>
          </cell>
          <cell r="F870" t="str">
            <v xml:space="preserve">Oil boilers </v>
          </cell>
          <cell r="G870">
            <v>16.86</v>
          </cell>
        </row>
        <row r="871">
          <cell r="C871" t="str">
            <v>GN5060ES</v>
          </cell>
          <cell r="D871">
            <v>5056003778441</v>
          </cell>
          <cell r="E871" t="str">
            <v>DANFOSS NOZZLE OIL 0.50GAL/60ES</v>
          </cell>
          <cell r="F871" t="str">
            <v xml:space="preserve">Oil boilers </v>
          </cell>
          <cell r="G871">
            <v>16.86</v>
          </cell>
        </row>
        <row r="872">
          <cell r="C872" t="str">
            <v>GN5060S</v>
          </cell>
          <cell r="D872">
            <v>5056003778533</v>
          </cell>
          <cell r="E872" t="str">
            <v>DANFOSS NOZZLE OIL 0.50GAL/60S</v>
          </cell>
          <cell r="F872" t="str">
            <v xml:space="preserve">Oil boilers </v>
          </cell>
          <cell r="G872">
            <v>16.86</v>
          </cell>
        </row>
        <row r="873">
          <cell r="C873" t="str">
            <v>GN5080EH</v>
          </cell>
          <cell r="D873">
            <v>5056003779028</v>
          </cell>
          <cell r="E873" t="str">
            <v>DANFOSS NOZZLE OIL 0.50GAL/80EH</v>
          </cell>
          <cell r="F873" t="str">
            <v xml:space="preserve">Oil boilers </v>
          </cell>
          <cell r="G873">
            <v>16.86</v>
          </cell>
        </row>
        <row r="874">
          <cell r="C874" t="str">
            <v>GN5080ES</v>
          </cell>
          <cell r="D874">
            <v>5056003778670</v>
          </cell>
          <cell r="E874" t="str">
            <v>DANFOSS NOZZLE OIL 0.50GAL/80ES</v>
          </cell>
          <cell r="F874" t="str">
            <v xml:space="preserve">Oil boilers </v>
          </cell>
          <cell r="G874">
            <v>16.86</v>
          </cell>
        </row>
        <row r="875">
          <cell r="C875" t="str">
            <v>GN5080H</v>
          </cell>
          <cell r="D875">
            <v>5056003779103</v>
          </cell>
          <cell r="E875" t="str">
            <v>DANFOSS NOZZLE OIL 0.50GAL/80H</v>
          </cell>
          <cell r="F875" t="str">
            <v xml:space="preserve">Oil boilers </v>
          </cell>
          <cell r="G875">
            <v>16.86</v>
          </cell>
        </row>
        <row r="876">
          <cell r="C876" t="str">
            <v>GN5560EH</v>
          </cell>
          <cell r="D876">
            <v>5056003778861</v>
          </cell>
          <cell r="E876" t="str">
            <v>DANFOSS NOZZLE OIL 0.55GAL/60EH</v>
          </cell>
          <cell r="F876" t="str">
            <v xml:space="preserve">Oil boilers </v>
          </cell>
          <cell r="G876">
            <v>16.86</v>
          </cell>
        </row>
        <row r="877">
          <cell r="C877" t="str">
            <v>GN5560ES</v>
          </cell>
          <cell r="D877">
            <v>5056003778458</v>
          </cell>
          <cell r="E877" t="str">
            <v>DANFOSS NOZZLE OIL 0.55GAL/60ES</v>
          </cell>
          <cell r="F877" t="str">
            <v xml:space="preserve">Oil boilers </v>
          </cell>
          <cell r="G877">
            <v>16.86</v>
          </cell>
        </row>
        <row r="878">
          <cell r="C878" t="str">
            <v>GN5560H</v>
          </cell>
          <cell r="D878">
            <v>5056003778939</v>
          </cell>
          <cell r="E878" t="str">
            <v>DANFOSS NOZZLE OIL 0.55GAL/60H</v>
          </cell>
          <cell r="F878" t="str">
            <v xml:space="preserve">Oil boilers </v>
          </cell>
          <cell r="G878">
            <v>16.86</v>
          </cell>
        </row>
        <row r="879">
          <cell r="C879" t="str">
            <v>GN5560S</v>
          </cell>
          <cell r="D879">
            <v>5056003778540</v>
          </cell>
          <cell r="E879" t="str">
            <v>DANFOSS NOZZLE OIL 0.55GAL/60S</v>
          </cell>
          <cell r="F879" t="str">
            <v xml:space="preserve">Oil boilers </v>
          </cell>
          <cell r="G879">
            <v>16.86</v>
          </cell>
        </row>
        <row r="880">
          <cell r="C880" t="str">
            <v>GN5580EH</v>
          </cell>
          <cell r="D880">
            <v>5056003779035</v>
          </cell>
          <cell r="E880" t="str">
            <v>DANFOSS NOZZLE OIL 0.55GAL/80EH</v>
          </cell>
          <cell r="F880" t="str">
            <v xml:space="preserve">Oil boilers </v>
          </cell>
          <cell r="G880">
            <v>16.86</v>
          </cell>
        </row>
        <row r="881">
          <cell r="C881" t="str">
            <v>GN5580ES</v>
          </cell>
          <cell r="D881">
            <v>5056003778687</v>
          </cell>
          <cell r="E881" t="str">
            <v>DANFOSS NOZZLE OIL 0.55GAL/80ES</v>
          </cell>
          <cell r="F881" t="str">
            <v xml:space="preserve">Oil boilers </v>
          </cell>
          <cell r="G881">
            <v>16.86</v>
          </cell>
        </row>
        <row r="882">
          <cell r="C882" t="str">
            <v>GN5580H</v>
          </cell>
          <cell r="D882">
            <v>5056003779110</v>
          </cell>
          <cell r="E882" t="str">
            <v>DANFOSS NOZZLE OIL 0.55GAL/80H</v>
          </cell>
          <cell r="F882" t="str">
            <v xml:space="preserve">Oil boilers </v>
          </cell>
          <cell r="G882">
            <v>16.86</v>
          </cell>
        </row>
        <row r="883">
          <cell r="C883" t="str">
            <v>GN6060EH</v>
          </cell>
          <cell r="D883">
            <v>5056003778878</v>
          </cell>
          <cell r="E883" t="str">
            <v>DANFOSS NOZZLE OIL 0.60GAL/60 EH</v>
          </cell>
          <cell r="F883" t="str">
            <v xml:space="preserve">Oil boilers </v>
          </cell>
          <cell r="G883">
            <v>16.86</v>
          </cell>
        </row>
        <row r="884">
          <cell r="C884" t="str">
            <v>GN6060ES</v>
          </cell>
          <cell r="D884">
            <v>5056003778465</v>
          </cell>
          <cell r="E884" t="str">
            <v>DANFOSS NOZZLE OIL 0.60GAL/60ES</v>
          </cell>
          <cell r="F884" t="str">
            <v xml:space="preserve">Oil boilers </v>
          </cell>
          <cell r="G884">
            <v>16.86</v>
          </cell>
        </row>
        <row r="885">
          <cell r="C885" t="str">
            <v>GN6060S</v>
          </cell>
          <cell r="D885">
            <v>5056003778557</v>
          </cell>
          <cell r="E885" t="str">
            <v>DANFOSS NOZZLE OIL 0.60GAL/60S</v>
          </cell>
          <cell r="F885" t="str">
            <v xml:space="preserve">Oil boilers </v>
          </cell>
          <cell r="G885">
            <v>16.86</v>
          </cell>
        </row>
        <row r="886">
          <cell r="C886" t="str">
            <v>GN6080EH</v>
          </cell>
          <cell r="D886">
            <v>5056003779042</v>
          </cell>
          <cell r="E886" t="str">
            <v>DANFOSS NOZZLE OIL 0.60GAL/80EH</v>
          </cell>
          <cell r="F886" t="str">
            <v xml:space="preserve">Oil boilers </v>
          </cell>
          <cell r="G886">
            <v>16.86</v>
          </cell>
        </row>
        <row r="887">
          <cell r="C887" t="str">
            <v>GN6080ES</v>
          </cell>
          <cell r="D887">
            <v>5056003778964</v>
          </cell>
          <cell r="E887" t="str">
            <v>DANFOSS NOZZLE OIL 0.60GAL/80ES</v>
          </cell>
          <cell r="F887" t="str">
            <v xml:space="preserve">Oil boilers </v>
          </cell>
          <cell r="G887">
            <v>16.86</v>
          </cell>
        </row>
        <row r="888">
          <cell r="C888" t="str">
            <v>GN6080H</v>
          </cell>
          <cell r="D888">
            <v>5056003778946</v>
          </cell>
          <cell r="E888" t="str">
            <v>DANFOSS NOZZLE OIL 0.60GAL/80H</v>
          </cell>
          <cell r="F888" t="str">
            <v xml:space="preserve">Oil boilers </v>
          </cell>
          <cell r="G888">
            <v>16.86</v>
          </cell>
        </row>
        <row r="889">
          <cell r="C889" t="str">
            <v>GN6080S</v>
          </cell>
          <cell r="D889">
            <v>5056003778762</v>
          </cell>
          <cell r="E889" t="str">
            <v>DANFOSS NOZZLE OIL 0.60GAL/80S</v>
          </cell>
          <cell r="F889" t="str">
            <v xml:space="preserve">Oil boilers </v>
          </cell>
          <cell r="G889">
            <v>16.86</v>
          </cell>
        </row>
        <row r="890">
          <cell r="C890" t="str">
            <v>GN6560EH</v>
          </cell>
          <cell r="D890">
            <v>5056003778885</v>
          </cell>
          <cell r="E890" t="str">
            <v>DANFOSS NOZZLE OIL 0.65GAL/60EH</v>
          </cell>
          <cell r="F890" t="str">
            <v xml:space="preserve">Oil boilers </v>
          </cell>
          <cell r="G890">
            <v>16.86</v>
          </cell>
        </row>
        <row r="891">
          <cell r="C891" t="str">
            <v>GN6560ES</v>
          </cell>
          <cell r="D891">
            <v>5056003778472</v>
          </cell>
          <cell r="E891" t="str">
            <v>DANFOSS NOZZLE OIL 0.65GAL/60ES</v>
          </cell>
          <cell r="F891" t="str">
            <v xml:space="preserve">Oil boilers </v>
          </cell>
          <cell r="G891">
            <v>16.86</v>
          </cell>
        </row>
        <row r="892">
          <cell r="C892" t="str">
            <v>GN6560S</v>
          </cell>
          <cell r="D892">
            <v>5056003778564</v>
          </cell>
          <cell r="E892" t="str">
            <v>DANFOSS NOZZLE OIL 0.65GAL/60S</v>
          </cell>
          <cell r="F892" t="str">
            <v xml:space="preserve">Oil boilers </v>
          </cell>
          <cell r="G892">
            <v>16.86</v>
          </cell>
        </row>
        <row r="893">
          <cell r="C893" t="str">
            <v>GN6580EH</v>
          </cell>
          <cell r="D893">
            <v>5056003779059</v>
          </cell>
          <cell r="E893" t="str">
            <v>DANFOSS NOZZLE OIL 0.65GAL/80EH</v>
          </cell>
          <cell r="F893" t="str">
            <v xml:space="preserve">Oil boilers </v>
          </cell>
          <cell r="G893">
            <v>16.86</v>
          </cell>
        </row>
        <row r="894">
          <cell r="C894" t="str">
            <v>GN6580ES</v>
          </cell>
          <cell r="D894">
            <v>5056003778700</v>
          </cell>
          <cell r="E894" t="str">
            <v>DANFOSS NOZZLE OIL 0.65GAL/80ES</v>
          </cell>
          <cell r="F894" t="str">
            <v xml:space="preserve">Oil boilers </v>
          </cell>
          <cell r="G894">
            <v>16.86</v>
          </cell>
        </row>
        <row r="895">
          <cell r="C895" t="str">
            <v>GN6580S</v>
          </cell>
          <cell r="D895">
            <v>5056003778748</v>
          </cell>
          <cell r="E895" t="str">
            <v>DANFOSS NOZZLE OIL 0.65GAL/80S</v>
          </cell>
          <cell r="F895" t="str">
            <v xml:space="preserve">Oil boilers </v>
          </cell>
          <cell r="G895">
            <v>16.86</v>
          </cell>
        </row>
        <row r="896">
          <cell r="C896" t="str">
            <v>GN7580S</v>
          </cell>
          <cell r="D896">
            <v>5056003778779</v>
          </cell>
          <cell r="E896" t="str">
            <v>DANFOSS NOZZLE OIL 0.75 GAL/80S</v>
          </cell>
          <cell r="F896" t="str">
            <v xml:space="preserve">Oil boilers </v>
          </cell>
          <cell r="G896">
            <v>16.86</v>
          </cell>
        </row>
        <row r="897">
          <cell r="C897" t="str">
            <v>GN7560EH</v>
          </cell>
          <cell r="D897">
            <v>5056003778892</v>
          </cell>
          <cell r="E897" t="str">
            <v>DANFOSS NOZZLE OIL 0.75GAL/60EH</v>
          </cell>
          <cell r="F897" t="str">
            <v xml:space="preserve">Oil boilers </v>
          </cell>
          <cell r="G897">
            <v>16.86</v>
          </cell>
        </row>
        <row r="898">
          <cell r="C898" t="str">
            <v>GN7560ES</v>
          </cell>
          <cell r="D898">
            <v>5056003778489</v>
          </cell>
          <cell r="E898" t="str">
            <v>DANFOSS NOZZLE OIL 0.75GAL/60ES</v>
          </cell>
          <cell r="F898" t="str">
            <v xml:space="preserve">Oil boilers </v>
          </cell>
          <cell r="G898">
            <v>16.86</v>
          </cell>
        </row>
        <row r="899">
          <cell r="C899" t="str">
            <v>GN7560S</v>
          </cell>
          <cell r="D899">
            <v>5056003778571</v>
          </cell>
          <cell r="E899" t="str">
            <v>DANFOSS NOZZLE OIL 0.75GAL/60S</v>
          </cell>
          <cell r="F899" t="str">
            <v xml:space="preserve">Oil boilers </v>
          </cell>
          <cell r="G899">
            <v>16.86</v>
          </cell>
        </row>
        <row r="900">
          <cell r="C900" t="str">
            <v>GN7580EH</v>
          </cell>
          <cell r="D900">
            <v>5056003779066</v>
          </cell>
          <cell r="E900" t="str">
            <v>DANFOSS NOZZLE OIL 0.75GAL/80EH</v>
          </cell>
          <cell r="F900" t="str">
            <v xml:space="preserve">Oil boilers </v>
          </cell>
          <cell r="G900">
            <v>16.86</v>
          </cell>
        </row>
        <row r="901">
          <cell r="C901" t="str">
            <v>GN7580ES</v>
          </cell>
          <cell r="D901">
            <v>5056003778717</v>
          </cell>
          <cell r="E901" t="str">
            <v>DANFOSS NOZZLE OIL 0.75GAL/80ES</v>
          </cell>
          <cell r="F901" t="str">
            <v xml:space="preserve">Oil boilers </v>
          </cell>
          <cell r="G901">
            <v>16.86</v>
          </cell>
        </row>
        <row r="902">
          <cell r="C902" t="str">
            <v>GN7580H</v>
          </cell>
          <cell r="D902">
            <v>5056003779172</v>
          </cell>
          <cell r="E902" t="str">
            <v>DANFOSS NOZZLE OIL 0.75GAL/80H</v>
          </cell>
          <cell r="F902" t="str">
            <v xml:space="preserve">Oil boilers </v>
          </cell>
          <cell r="G902">
            <v>16.86</v>
          </cell>
        </row>
        <row r="903">
          <cell r="C903" t="str">
            <v>GN8560EH</v>
          </cell>
          <cell r="D903">
            <v>5056003778908</v>
          </cell>
          <cell r="E903" t="str">
            <v>DANFOSS NOZZLE OIL 0.85GAL/60EH</v>
          </cell>
          <cell r="F903" t="str">
            <v xml:space="preserve">Oil boilers </v>
          </cell>
          <cell r="G903">
            <v>16.86</v>
          </cell>
        </row>
        <row r="904">
          <cell r="C904" t="str">
            <v>GN8560ES</v>
          </cell>
          <cell r="D904">
            <v>5056003778496</v>
          </cell>
          <cell r="E904" t="str">
            <v>DANFOSS NOZZLE OIL 0.85GAL/60ES</v>
          </cell>
          <cell r="F904" t="str">
            <v xml:space="preserve">Oil boilers </v>
          </cell>
          <cell r="G904">
            <v>16.86</v>
          </cell>
        </row>
        <row r="905">
          <cell r="C905" t="str">
            <v>GN8560S</v>
          </cell>
          <cell r="D905">
            <v>5056003778588</v>
          </cell>
          <cell r="E905" t="str">
            <v>DANFOSS NOZZLE OIL 0.85GAL/60S</v>
          </cell>
          <cell r="F905" t="str">
            <v xml:space="preserve">Oil boilers </v>
          </cell>
          <cell r="G905">
            <v>16.86</v>
          </cell>
        </row>
        <row r="906">
          <cell r="C906" t="str">
            <v>GN8580EH</v>
          </cell>
          <cell r="D906">
            <v>5056003779073</v>
          </cell>
          <cell r="E906" t="str">
            <v>DANFOSS NOZZLE OIL 0.85GAL/80EH</v>
          </cell>
          <cell r="F906" t="str">
            <v xml:space="preserve">Oil boilers </v>
          </cell>
          <cell r="G906">
            <v>16.86</v>
          </cell>
        </row>
        <row r="907">
          <cell r="C907" t="str">
            <v>GN8580ES</v>
          </cell>
          <cell r="D907">
            <v>5056003778724</v>
          </cell>
          <cell r="E907" t="str">
            <v>DANFOSS NOZZLE OIL 0.85GAL/80ES</v>
          </cell>
          <cell r="F907" t="str">
            <v xml:space="preserve">Oil boilers </v>
          </cell>
          <cell r="G907">
            <v>16.86</v>
          </cell>
        </row>
        <row r="908">
          <cell r="C908" t="str">
            <v>GN8580H</v>
          </cell>
          <cell r="D908">
            <v>5056003779127</v>
          </cell>
          <cell r="E908" t="str">
            <v>DANFOSS NOZZLE OIL 0.85GAL/80H</v>
          </cell>
          <cell r="F908" t="str">
            <v xml:space="preserve">Oil boilers </v>
          </cell>
          <cell r="G908">
            <v>16.86</v>
          </cell>
        </row>
        <row r="909">
          <cell r="C909" t="str">
            <v>GN8580S</v>
          </cell>
          <cell r="D909">
            <v>5056003778786</v>
          </cell>
          <cell r="E909" t="str">
            <v>DANFOSS NOZZLE OIL 0.85GAL/80S</v>
          </cell>
          <cell r="F909" t="str">
            <v xml:space="preserve">Oil boilers </v>
          </cell>
          <cell r="G909">
            <v>16.86</v>
          </cell>
        </row>
        <row r="910">
          <cell r="C910" t="str">
            <v>GN10080ES</v>
          </cell>
          <cell r="D910">
            <v>5056003778731</v>
          </cell>
          <cell r="E910" t="str">
            <v>DANFOSS NOZZLE OIL 1.00 GAL/80ES</v>
          </cell>
          <cell r="F910" t="str">
            <v xml:space="preserve">Oil boilers </v>
          </cell>
          <cell r="G910">
            <v>16.86</v>
          </cell>
        </row>
        <row r="911">
          <cell r="C911" t="str">
            <v>GN10060EH</v>
          </cell>
          <cell r="D911">
            <v>5056003778915</v>
          </cell>
          <cell r="E911" t="str">
            <v>DANFOSS NOZZLE OIL 1.00GAL/60EH</v>
          </cell>
          <cell r="F911" t="str">
            <v xml:space="preserve">Oil boilers </v>
          </cell>
          <cell r="G911">
            <v>16.86</v>
          </cell>
        </row>
        <row r="912">
          <cell r="C912" t="str">
            <v>GN10060ES</v>
          </cell>
          <cell r="D912">
            <v>5056003778502</v>
          </cell>
          <cell r="E912" t="str">
            <v>DANFOSS NOZZLE OIL 1.00GAL/60ES</v>
          </cell>
          <cell r="F912" t="str">
            <v xml:space="preserve">Oil boilers </v>
          </cell>
          <cell r="G912">
            <v>16.86</v>
          </cell>
        </row>
        <row r="913">
          <cell r="C913" t="str">
            <v>GN10060S</v>
          </cell>
          <cell r="D913">
            <v>5056003778595</v>
          </cell>
          <cell r="E913" t="str">
            <v>DANFOSS NOZZLE OIL 1.00GAL/60S</v>
          </cell>
          <cell r="F913" t="str">
            <v xml:space="preserve">Oil boilers </v>
          </cell>
          <cell r="G913">
            <v>16.86</v>
          </cell>
        </row>
        <row r="914">
          <cell r="C914" t="str">
            <v>GN10080EH</v>
          </cell>
          <cell r="D914">
            <v>5056003779431</v>
          </cell>
          <cell r="E914" t="str">
            <v>DANFOSS NOZZLE OIL 1.00GAL/80EH</v>
          </cell>
          <cell r="F914" t="str">
            <v xml:space="preserve">Oil boilers </v>
          </cell>
          <cell r="G914">
            <v>16.86</v>
          </cell>
        </row>
        <row r="915">
          <cell r="C915" t="str">
            <v>GN10080H</v>
          </cell>
          <cell r="D915">
            <v>5056003779134</v>
          </cell>
          <cell r="E915" t="str">
            <v>DANFOSS NOZZLE OIL 1.00GAL/80H</v>
          </cell>
          <cell r="F915" t="str">
            <v xml:space="preserve">Oil boilers </v>
          </cell>
          <cell r="G915">
            <v>16.86</v>
          </cell>
        </row>
        <row r="916">
          <cell r="C916" t="str">
            <v>GN11080H</v>
          </cell>
          <cell r="D916">
            <v>5056003779578</v>
          </cell>
          <cell r="E916" t="str">
            <v>DANFOSS NOZZLE OIL 1.10 GAL/80H</v>
          </cell>
          <cell r="F916" t="str">
            <v xml:space="preserve">Oil boilers </v>
          </cell>
          <cell r="G916">
            <v>16.86</v>
          </cell>
        </row>
        <row r="917">
          <cell r="C917" t="str">
            <v>GN11080S</v>
          </cell>
          <cell r="D917">
            <v>5056003779585</v>
          </cell>
          <cell r="E917" t="str">
            <v>DANFOSS NOZZLE OIL 1.10 GAL/80S</v>
          </cell>
          <cell r="F917" t="str">
            <v xml:space="preserve">Oil boilers </v>
          </cell>
          <cell r="G917">
            <v>16.86</v>
          </cell>
        </row>
        <row r="918">
          <cell r="C918" t="str">
            <v>GN11045S</v>
          </cell>
          <cell r="D918">
            <v>5056003779516</v>
          </cell>
          <cell r="E918" t="str">
            <v>DANFOSS NOZZLE OIL 1.10GAL/45S</v>
          </cell>
          <cell r="F918" t="str">
            <v xml:space="preserve">Oil boilers </v>
          </cell>
          <cell r="G918">
            <v>16.86</v>
          </cell>
        </row>
        <row r="919">
          <cell r="C919" t="str">
            <v>GN11060EH</v>
          </cell>
          <cell r="D919">
            <v>5056003778922</v>
          </cell>
          <cell r="E919" t="str">
            <v>DANFOSS NOZZLE OIL 1.10GAL/60EH</v>
          </cell>
          <cell r="F919" t="str">
            <v xml:space="preserve">Oil boilers </v>
          </cell>
          <cell r="G919">
            <v>16.86</v>
          </cell>
        </row>
        <row r="920">
          <cell r="C920" t="str">
            <v>GN11060ES</v>
          </cell>
          <cell r="D920">
            <v>5056003778519</v>
          </cell>
          <cell r="E920" t="str">
            <v>DANFOSS NOZZLE OIL 1.10GAL/60ES</v>
          </cell>
          <cell r="F920" t="str">
            <v xml:space="preserve">Oil boilers </v>
          </cell>
          <cell r="G920">
            <v>16.86</v>
          </cell>
        </row>
        <row r="921">
          <cell r="C921" t="str">
            <v>GN11060S</v>
          </cell>
          <cell r="D921">
            <v>5056003778601</v>
          </cell>
          <cell r="E921" t="str">
            <v>DANFOSS NOZZLE OIL 1.10GAL/60S</v>
          </cell>
          <cell r="F921" t="str">
            <v xml:space="preserve">Oil boilers </v>
          </cell>
          <cell r="G921">
            <v>16.86</v>
          </cell>
        </row>
        <row r="922">
          <cell r="C922" t="str">
            <v>GN11080EH</v>
          </cell>
          <cell r="D922">
            <v>5056003779097</v>
          </cell>
          <cell r="E922" t="str">
            <v>DANFOSS NOZZLE OIL 1.10GAL/80EH</v>
          </cell>
          <cell r="F922" t="str">
            <v xml:space="preserve">Oil boilers </v>
          </cell>
          <cell r="G922">
            <v>16.86</v>
          </cell>
        </row>
        <row r="923">
          <cell r="C923" t="str">
            <v>GN12060S</v>
          </cell>
          <cell r="D923">
            <v>5056003778618</v>
          </cell>
          <cell r="E923" t="str">
            <v>DANFOSS NOZZLE OIL 1.20GAL/60S</v>
          </cell>
          <cell r="F923" t="str">
            <v xml:space="preserve">Oil boilers </v>
          </cell>
          <cell r="G923">
            <v>16.86</v>
          </cell>
        </row>
        <row r="924">
          <cell r="C924" t="str">
            <v>GN12080H</v>
          </cell>
          <cell r="D924">
            <v>5056003779141</v>
          </cell>
          <cell r="E924" t="str">
            <v>DANFOSS NOZZLE OIL 1.20GAL/80H</v>
          </cell>
          <cell r="F924" t="str">
            <v xml:space="preserve">Oil boilers </v>
          </cell>
          <cell r="G924">
            <v>16.86</v>
          </cell>
        </row>
        <row r="925">
          <cell r="C925" t="str">
            <v>GN12080S</v>
          </cell>
          <cell r="D925">
            <v>5056003778793</v>
          </cell>
          <cell r="E925" t="str">
            <v>DANFOSS NOZZLE OIL 1.20GAL/80S</v>
          </cell>
          <cell r="F925" t="str">
            <v xml:space="preserve">Oil boilers </v>
          </cell>
          <cell r="G925">
            <v>16.86</v>
          </cell>
        </row>
        <row r="926">
          <cell r="C926" t="str">
            <v>GN12560H</v>
          </cell>
          <cell r="D926">
            <v>5056003778953</v>
          </cell>
          <cell r="E926" t="str">
            <v>DANFOSS NOZZLE OIL 1.25GAL/60H</v>
          </cell>
          <cell r="F926" t="str">
            <v xml:space="preserve">Oil boilers </v>
          </cell>
          <cell r="G926">
            <v>16.86</v>
          </cell>
        </row>
        <row r="927">
          <cell r="C927" t="str">
            <v>GN12560S</v>
          </cell>
          <cell r="D927">
            <v>5056003778625</v>
          </cell>
          <cell r="E927" t="str">
            <v>DANFOSS NOZZLE OIL 1.25GAL/60S</v>
          </cell>
          <cell r="F927" t="str">
            <v xml:space="preserve">Oil boilers </v>
          </cell>
          <cell r="G927">
            <v>16.86</v>
          </cell>
        </row>
        <row r="928">
          <cell r="C928" t="str">
            <v>GN12580S</v>
          </cell>
          <cell r="D928">
            <v>5056003778809</v>
          </cell>
          <cell r="E928" t="str">
            <v>DANFOSS NOZZLE OIL 1.25GAL/80S</v>
          </cell>
          <cell r="F928" t="str">
            <v xml:space="preserve">Oil boilers </v>
          </cell>
          <cell r="G928">
            <v>16.86</v>
          </cell>
        </row>
        <row r="929">
          <cell r="C929" t="str">
            <v>GN13560H</v>
          </cell>
          <cell r="D929">
            <v>5056003778960</v>
          </cell>
          <cell r="E929" t="str">
            <v>DANFOSS NOZZLE OIL 1.35GAL/60H</v>
          </cell>
          <cell r="F929" t="str">
            <v xml:space="preserve">Oil boilers </v>
          </cell>
          <cell r="G929">
            <v>16.86</v>
          </cell>
        </row>
        <row r="930">
          <cell r="C930" t="str">
            <v>GN13560S</v>
          </cell>
          <cell r="D930">
            <v>5056003778632</v>
          </cell>
          <cell r="E930" t="str">
            <v>DANFOSS NOZZLE OIL 1.35GAL/60S</v>
          </cell>
          <cell r="F930" t="str">
            <v xml:space="preserve">Oil boilers </v>
          </cell>
          <cell r="G930">
            <v>16.86</v>
          </cell>
        </row>
        <row r="931">
          <cell r="C931" t="str">
            <v>GN13580S</v>
          </cell>
          <cell r="D931">
            <v>5056003778816</v>
          </cell>
          <cell r="E931" t="str">
            <v>DANFOSS NOZZLE OIL 1.35GAL/80S</v>
          </cell>
          <cell r="F931" t="str">
            <v xml:space="preserve">Oil boilers </v>
          </cell>
          <cell r="G931">
            <v>16.86</v>
          </cell>
        </row>
        <row r="932">
          <cell r="C932" t="str">
            <v>GN15045S</v>
          </cell>
          <cell r="D932">
            <v>5056003779530</v>
          </cell>
          <cell r="E932" t="str">
            <v>DANFOSS NOZZLE OIL 1.50GAL/45S</v>
          </cell>
          <cell r="F932" t="str">
            <v xml:space="preserve">Oil boilers </v>
          </cell>
          <cell r="G932">
            <v>16.86</v>
          </cell>
        </row>
        <row r="933">
          <cell r="C933" t="str">
            <v>GN15060S</v>
          </cell>
          <cell r="D933">
            <v>5056003778649</v>
          </cell>
          <cell r="E933" t="str">
            <v>DANFOSS NOZZLE OIL 1.50GAL/60S</v>
          </cell>
          <cell r="F933" t="str">
            <v xml:space="preserve">Oil boilers </v>
          </cell>
          <cell r="G933">
            <v>16.86</v>
          </cell>
        </row>
        <row r="934">
          <cell r="C934" t="str">
            <v>GN16560S</v>
          </cell>
          <cell r="D934">
            <v>5056003778656</v>
          </cell>
          <cell r="E934" t="str">
            <v>DANFOSS NOZZLE OIL 1.65GAL/60S</v>
          </cell>
          <cell r="F934" t="str">
            <v xml:space="preserve">Oil boilers </v>
          </cell>
          <cell r="G934">
            <v>16.86</v>
          </cell>
        </row>
        <row r="935">
          <cell r="C935" t="str">
            <v>GN16580S</v>
          </cell>
          <cell r="D935">
            <v>5056003778823</v>
          </cell>
          <cell r="E935" t="str">
            <v>DANFOSS NOZZLE OIL 1.65GAL/80S</v>
          </cell>
          <cell r="F935" t="str">
            <v xml:space="preserve">Oil boilers </v>
          </cell>
          <cell r="G935">
            <v>16.86</v>
          </cell>
        </row>
        <row r="936">
          <cell r="C936" t="str">
            <v>GN17560H</v>
          </cell>
          <cell r="D936">
            <v>5056003778977</v>
          </cell>
          <cell r="E936" t="str">
            <v>DANFOSS NOZZLE OIL 1.75GAL/60H</v>
          </cell>
          <cell r="F936" t="str">
            <v xml:space="preserve">Oil boilers </v>
          </cell>
          <cell r="G936">
            <v>16.86</v>
          </cell>
        </row>
        <row r="937">
          <cell r="C937" t="str">
            <v>GN17560S</v>
          </cell>
          <cell r="D937">
            <v>5056003779523</v>
          </cell>
          <cell r="E937" t="str">
            <v>DANFOSS NOZZLE OIL 1.75GAL/60S</v>
          </cell>
          <cell r="F937" t="str">
            <v xml:space="preserve">Oil boilers </v>
          </cell>
          <cell r="G937">
            <v>16.86</v>
          </cell>
        </row>
        <row r="938">
          <cell r="C938" t="str">
            <v>GN20060H</v>
          </cell>
          <cell r="D938">
            <v>5056003778847</v>
          </cell>
          <cell r="E938" t="str">
            <v>DANFOSS NOZZLE OIL 2.00GAL/60H</v>
          </cell>
          <cell r="F938" t="str">
            <v xml:space="preserve">Oil boilers </v>
          </cell>
          <cell r="G938">
            <v>16.86</v>
          </cell>
        </row>
        <row r="939">
          <cell r="C939" t="str">
            <v>GN20060S</v>
          </cell>
          <cell r="D939">
            <v>5056003778410</v>
          </cell>
          <cell r="E939" t="str">
            <v>DANFOSS NOZZLE OIL 2.00GAL/60S</v>
          </cell>
          <cell r="F939" t="str">
            <v xml:space="preserve">Oil boilers </v>
          </cell>
          <cell r="G939">
            <v>16.86</v>
          </cell>
        </row>
        <row r="940">
          <cell r="C940" t="str">
            <v>GN22560S</v>
          </cell>
          <cell r="D940">
            <v>5056003778427</v>
          </cell>
          <cell r="E940" t="str">
            <v>DANFOSS NOZZLE OIL 2.25GAL/60S</v>
          </cell>
          <cell r="F940" t="str">
            <v xml:space="preserve">Oil boilers </v>
          </cell>
          <cell r="G940">
            <v>16.86</v>
          </cell>
        </row>
        <row r="941">
          <cell r="C941" t="str">
            <v>GN22580H</v>
          </cell>
          <cell r="D941">
            <v>5056003778991</v>
          </cell>
          <cell r="E941" t="str">
            <v>DANFOSS NOZZLE OIL 2.25GAL/80H</v>
          </cell>
          <cell r="F941" t="str">
            <v xml:space="preserve">Oil boilers </v>
          </cell>
          <cell r="G941">
            <v>16.86</v>
          </cell>
        </row>
        <row r="942">
          <cell r="C942" t="str">
            <v>GN25045S</v>
          </cell>
          <cell r="D942">
            <v>5056003779547</v>
          </cell>
          <cell r="E942" t="str">
            <v>DANFOSS NOZZLE OIL 2.50GAL/45S</v>
          </cell>
          <cell r="F942" t="str">
            <v xml:space="preserve">Oil boilers </v>
          </cell>
          <cell r="G942">
            <v>16.86</v>
          </cell>
        </row>
        <row r="943">
          <cell r="C943" t="str">
            <v>GN25060S</v>
          </cell>
          <cell r="D943">
            <v>5056003779486</v>
          </cell>
          <cell r="E943" t="str">
            <v>DANFOSS NOZZLE OIL 2.50GAL/60S</v>
          </cell>
          <cell r="F943" t="str">
            <v xml:space="preserve">Oil boilers </v>
          </cell>
          <cell r="G943">
            <v>16.86</v>
          </cell>
        </row>
        <row r="944">
          <cell r="C944" t="str">
            <v>GN27560S</v>
          </cell>
          <cell r="D944">
            <v>5056003779561</v>
          </cell>
          <cell r="E944" t="str">
            <v>DANFOSS NOZZLE OIL 2.75GAL/60S</v>
          </cell>
          <cell r="F944" t="str">
            <v xml:space="preserve">Oil boilers </v>
          </cell>
          <cell r="G944">
            <v>16.86</v>
          </cell>
        </row>
        <row r="945">
          <cell r="C945" t="str">
            <v>GN35060S</v>
          </cell>
          <cell r="D945">
            <v>5056003779554</v>
          </cell>
          <cell r="E945" t="str">
            <v>DANFOSS NOZZLE OIL 3.50GAL/60S</v>
          </cell>
          <cell r="F945" t="str">
            <v xml:space="preserve">Oil boilers </v>
          </cell>
          <cell r="G945">
            <v>16.86</v>
          </cell>
        </row>
        <row r="946">
          <cell r="C946" t="str">
            <v>GNOZZKIT</v>
          </cell>
          <cell r="D946">
            <v>5056003778380</v>
          </cell>
          <cell r="E946" t="str">
            <v>Grant Nozzle Kit c/w 5/8 x 3/4 x 125mm box spanner &amp; T-Bar</v>
          </cell>
          <cell r="F946" t="str">
            <v xml:space="preserve">Oil boilers </v>
          </cell>
          <cell r="G946">
            <v>430</v>
          </cell>
        </row>
        <row r="947">
          <cell r="C947" t="str">
            <v>PWVTXCOM9220-1</v>
          </cell>
          <cell r="D947" t="str">
            <v>50560037 73644</v>
          </cell>
          <cell r="E947" t="str">
            <v>* L * 22mm VTXCOMBI21,26 + OM (PRIMARY FLOW MANIFOLD)</v>
          </cell>
          <cell r="G947" t="str">
            <v>POA</v>
          </cell>
        </row>
        <row r="948">
          <cell r="C948" t="str">
            <v>PWVTXCOM9230-10</v>
          </cell>
          <cell r="D948" t="str">
            <v>50560037 73736</v>
          </cell>
          <cell r="E948" t="str">
            <v>* P * 22mm VTXCOMBI21,26+OM (OBSOLETE)(PRIMARY RETURN)</v>
          </cell>
          <cell r="G948" t="str">
            <v>POA</v>
          </cell>
        </row>
        <row r="949">
          <cell r="C949" t="str">
            <v>PWVTXCOM9240-15</v>
          </cell>
          <cell r="D949" t="str">
            <v>50560037 73781</v>
          </cell>
          <cell r="E949" t="str">
            <v>* S * 15mm VTXCOMBI21,26+OM (HOT WATER OUTLET FROM BLENDING)</v>
          </cell>
          <cell r="G949" t="str">
            <v>POA</v>
          </cell>
        </row>
        <row r="950">
          <cell r="C950" t="str">
            <v>PWVTXCOM9260-3</v>
          </cell>
          <cell r="D950" t="str">
            <v>50560037 73668</v>
          </cell>
          <cell r="E950" t="str">
            <v>* M * 22mm PRE 18/10/17 VTXCOMBI21,26 + OM (PRIMARY RETURN)</v>
          </cell>
          <cell r="G950" t="str">
            <v>POA</v>
          </cell>
        </row>
        <row r="951">
          <cell r="C951" t="str">
            <v>PWVTXCOM9260-4</v>
          </cell>
          <cell r="D951" t="str">
            <v>50560037 73675</v>
          </cell>
          <cell r="E951" t="str">
            <v>* M * 22mm POST 18/10/19 VTXCOMBI21,26 + OM (PRIMARY RETURN)</v>
          </cell>
          <cell r="G951" t="str">
            <v>POA</v>
          </cell>
        </row>
        <row r="952">
          <cell r="C952" t="str">
            <v>PWVTXCOM9270-12</v>
          </cell>
          <cell r="D952" t="str">
            <v>50560037 73750</v>
          </cell>
          <cell r="E952" t="str">
            <v>* Q * 15mm VTXCOMBI21,26+OM (COLD WATER INLET MANIFOLD)</v>
          </cell>
          <cell r="G952" t="str">
            <v>POA</v>
          </cell>
        </row>
        <row r="953">
          <cell r="C953" t="str">
            <v>PWVTXCOM9280-7</v>
          </cell>
          <cell r="D953" t="str">
            <v>50560037 73705</v>
          </cell>
          <cell r="E953" t="str">
            <v>* N * 22mm VTXCOMBI21,26 + OM (PRIMARY FLOW TO HEAT PUMP)</v>
          </cell>
          <cell r="G953" t="str">
            <v>POA</v>
          </cell>
        </row>
        <row r="954">
          <cell r="C954" t="str">
            <v>PWVTXCOM9290-14</v>
          </cell>
          <cell r="D954" t="str">
            <v>50560037 73774</v>
          </cell>
          <cell r="E954" t="str">
            <v>* R * 15mm VTXCOMBI21,26,36+OM (HOT WATER FLOW TO BLENDING)</v>
          </cell>
          <cell r="G954" t="str">
            <v>POA</v>
          </cell>
        </row>
        <row r="955">
          <cell r="C955" t="str">
            <v>PWVTXCOM9300-9</v>
          </cell>
          <cell r="D955" t="str">
            <v>50560037 73729</v>
          </cell>
          <cell r="E955" t="str">
            <v>* O * 22mm VTXCOMBI21,26+36+ OM (PRIMARY FLOW TO HEAT PLATE)</v>
          </cell>
          <cell r="G955" t="str">
            <v>POA</v>
          </cell>
        </row>
        <row r="956">
          <cell r="C956" t="str">
            <v>PWVTXCOM9310-13</v>
          </cell>
          <cell r="D956" t="str">
            <v>50560037 73767</v>
          </cell>
          <cell r="E956" t="str">
            <v>* Q * 22mm VTXCOMBI36+OM (COLD WATER INLET MANIFOLD)</v>
          </cell>
          <cell r="G956" t="str">
            <v>POA</v>
          </cell>
        </row>
        <row r="957">
          <cell r="C957" t="str">
            <v>PWVTXCOM9320-11</v>
          </cell>
          <cell r="D957" t="str">
            <v>50560037 73743</v>
          </cell>
          <cell r="E957" t="str">
            <v>* P * 28mm VTXCOMBI36+OM (OBSOLETE)(PRIMARY RETURN)</v>
          </cell>
          <cell r="G957" t="str">
            <v>POA</v>
          </cell>
        </row>
        <row r="958">
          <cell r="C958" t="str">
            <v>PWVTXCOM9330-2</v>
          </cell>
          <cell r="D958" t="str">
            <v>50560037 73651</v>
          </cell>
          <cell r="E958" t="str">
            <v>* L * 28mm VTXCOMBI36 + OM (PRIMARY FLOW MANIFOLD)</v>
          </cell>
          <cell r="G958" t="str">
            <v>POA</v>
          </cell>
        </row>
        <row r="959">
          <cell r="C959" t="str">
            <v>PWVTXCOM9340-16</v>
          </cell>
          <cell r="D959" t="str">
            <v>50560037 73798</v>
          </cell>
          <cell r="E959" t="str">
            <v>* S * 22mm VTXCOMBI36+OM (HOT WATER OUTLET FROM BLENDING)</v>
          </cell>
          <cell r="G959" t="str">
            <v>POA</v>
          </cell>
        </row>
        <row r="960">
          <cell r="C960" t="str">
            <v>PWVTXCOM9350-5</v>
          </cell>
          <cell r="D960" t="str">
            <v>50560037 73682</v>
          </cell>
          <cell r="E960" t="str">
            <v>* M * 28mm PRE 18/10/19 VTXCOMBI36 + OM (PRIMARY RETURN)</v>
          </cell>
          <cell r="G960" t="str">
            <v>POA</v>
          </cell>
        </row>
        <row r="961">
          <cell r="C961" t="str">
            <v>PWVTXCOM9350-6</v>
          </cell>
          <cell r="D961" t="str">
            <v>50560037 73699</v>
          </cell>
          <cell r="E961" t="str">
            <v>* M * 28mm POST 18/10/19 VTXCOMBI36 + OM (PRIMARY RETURN)</v>
          </cell>
          <cell r="G961" t="str">
            <v>POA</v>
          </cell>
        </row>
        <row r="962">
          <cell r="C962" t="str">
            <v>PWVTXCOM9360-8</v>
          </cell>
          <cell r="D962" t="str">
            <v>50560037 73712</v>
          </cell>
          <cell r="E962" t="str">
            <v>* N * 28mm VTXCOMBI36 + OM (PRIMARY FLOW TO HEAT PUMP)</v>
          </cell>
          <cell r="G962" t="str">
            <v>POA</v>
          </cell>
        </row>
        <row r="963">
          <cell r="C963" t="str">
            <v>DSBH</v>
          </cell>
          <cell r="D963">
            <v>5056003700534</v>
          </cell>
          <cell r="E963" t="str">
            <v>Dual Thermostat</v>
          </cell>
          <cell r="F963" t="str">
            <v>Euroflame Boilerhouse, Multipass Boilerhouse</v>
          </cell>
          <cell r="G963">
            <v>90.07</v>
          </cell>
        </row>
        <row r="964">
          <cell r="C964" t="str">
            <v>DSBH03LC</v>
          </cell>
          <cell r="D964">
            <v>5056003705591</v>
          </cell>
          <cell r="E964" t="str">
            <v>Dual Thermostat</v>
          </cell>
          <cell r="F964" t="str">
            <v>Vortex Boilerhouse</v>
          </cell>
          <cell r="G964">
            <v>95.38</v>
          </cell>
        </row>
        <row r="965">
          <cell r="C965" t="str">
            <v>EFBS10</v>
          </cell>
          <cell r="D965">
            <v>5056003702606</v>
          </cell>
          <cell r="E965" t="str">
            <v>Thermostat Pocket</v>
          </cell>
          <cell r="F965" t="str">
            <v>Comb MKII, CombiV3, Multipass,  Vortex Pro, Vortex Pro Combi, Vortex Eco WallHung</v>
          </cell>
          <cell r="G965">
            <v>24.35</v>
          </cell>
        </row>
        <row r="966">
          <cell r="C966" t="str">
            <v>EFBS23</v>
          </cell>
          <cell r="D966">
            <v>5056003700428</v>
          </cell>
          <cell r="E966" t="str">
            <v xml:space="preserve">Frost Stat </v>
          </cell>
          <cell r="F966" t="str">
            <v>All External models</v>
          </cell>
          <cell r="G966">
            <v>56.47</v>
          </cell>
        </row>
        <row r="967">
          <cell r="C967" t="str">
            <v>MPCBS25</v>
          </cell>
          <cell r="D967">
            <v>5056003701579</v>
          </cell>
          <cell r="E967" t="str">
            <v>Primary Store Thermostat</v>
          </cell>
          <cell r="F967" t="str">
            <v>Comb MKII</v>
          </cell>
          <cell r="G967">
            <v>32</v>
          </cell>
        </row>
        <row r="968">
          <cell r="C968" t="str">
            <v>TPBS33</v>
          </cell>
          <cell r="D968">
            <v>5056003700435</v>
          </cell>
          <cell r="E968" t="str">
            <v>High Limit Thermostat</v>
          </cell>
          <cell r="F968" t="str">
            <v>All standard efficiency boilers (non-condensing)</v>
          </cell>
          <cell r="G968">
            <v>53.13</v>
          </cell>
        </row>
        <row r="969">
          <cell r="C969" t="str">
            <v>TPBS34</v>
          </cell>
          <cell r="D969">
            <v>5056003701289</v>
          </cell>
          <cell r="E969" t="str">
            <v>Boiler (Heating) Thermostat</v>
          </cell>
          <cell r="F969" t="str">
            <v>All standard efficiency boilers (non-condensing)</v>
          </cell>
          <cell r="G969">
            <v>53.13</v>
          </cell>
        </row>
        <row r="970">
          <cell r="C970" t="str">
            <v>VBS145</v>
          </cell>
          <cell r="D970">
            <v>5056003731347</v>
          </cell>
          <cell r="E970" t="str">
            <v>Dual Thermostat 450mm capillary</v>
          </cell>
          <cell r="F970" t="str">
            <v>All Vortex models</v>
          </cell>
          <cell r="G970">
            <v>74.13</v>
          </cell>
        </row>
        <row r="971">
          <cell r="C971" t="str">
            <v>VBS146</v>
          </cell>
          <cell r="D971">
            <v>5056003731354</v>
          </cell>
          <cell r="E971" t="str">
            <v xml:space="preserve">Control thermostat 50-75ᵒC </v>
          </cell>
          <cell r="F971" t="str">
            <v>All Vortex models</v>
          </cell>
          <cell r="G971">
            <v>53.13</v>
          </cell>
        </row>
        <row r="972">
          <cell r="C972" t="str">
            <v>VBS147</v>
          </cell>
          <cell r="D972">
            <v>5056003731361</v>
          </cell>
          <cell r="E972" t="str">
            <v>High Limit thermostat 110ᵒC manual reset SBSC</v>
          </cell>
          <cell r="F972" t="str">
            <v>All Vortex models</v>
          </cell>
          <cell r="G972">
            <v>53.13</v>
          </cell>
        </row>
        <row r="973">
          <cell r="C973" t="str">
            <v>EFBS19</v>
          </cell>
          <cell r="D973">
            <v>5056003700541</v>
          </cell>
          <cell r="E973" t="str">
            <v>On/Off Double Pole Switch (Neon, 4 Terminal)</v>
          </cell>
          <cell r="F973" t="str">
            <v>Comb MKII, Comb V3, Euroflame, Multipass, Vortex Pro, Vortex Pro Combi, Vortex Eco, Vortex Eco WallHung</v>
          </cell>
          <cell r="G973">
            <v>18.41</v>
          </cell>
        </row>
        <row r="974">
          <cell r="C974" t="str">
            <v>EFBS21</v>
          </cell>
          <cell r="D974">
            <v>5056003701272</v>
          </cell>
          <cell r="E974" t="str">
            <v>Boiler On/Off Switch</v>
          </cell>
          <cell r="F974" t="str">
            <v>Comb MKII, Comb V3, Euroflame, Multipass, Vortex Eco, Vortex Eco WallHung</v>
          </cell>
          <cell r="G974">
            <v>12.97</v>
          </cell>
        </row>
        <row r="975">
          <cell r="C975" t="str">
            <v>EFBS22</v>
          </cell>
          <cell r="D975">
            <v>5056003700558</v>
          </cell>
          <cell r="E975" t="str">
            <v>Heating/Rocker Switch (W24 x H32 mm)</v>
          </cell>
          <cell r="F975" t="str">
            <v>Comb MKII, Comb V3, Euroflame</v>
          </cell>
          <cell r="G975">
            <v>12.97</v>
          </cell>
        </row>
        <row r="976">
          <cell r="C976" t="str">
            <v>EFBS22X</v>
          </cell>
          <cell r="D976">
            <v>5056003705584</v>
          </cell>
          <cell r="E976" t="str">
            <v>Heating/Rocker Switch (W15 x H31 mm)</v>
          </cell>
          <cell r="F976" t="str">
            <v xml:space="preserve">Comb MKII, Euroflame </v>
          </cell>
          <cell r="G976">
            <v>12.97</v>
          </cell>
        </row>
        <row r="977">
          <cell r="C977" t="str">
            <v>EFBS80</v>
          </cell>
          <cell r="D977">
            <v>5056003704860</v>
          </cell>
          <cell r="E977" t="str">
            <v>Test Switch (4 terminal)</v>
          </cell>
          <cell r="F977" t="str">
            <v>Comb V3</v>
          </cell>
          <cell r="G977">
            <v>12.97</v>
          </cell>
        </row>
        <row r="978">
          <cell r="C978" t="str">
            <v>MPCBS41</v>
          </cell>
          <cell r="D978">
            <v>5056003702736</v>
          </cell>
          <cell r="E978" t="str">
            <v>Microswitch Assembly</v>
          </cell>
          <cell r="F978" t="str">
            <v>Comb MKII, Comb V3</v>
          </cell>
          <cell r="G978">
            <v>30.03</v>
          </cell>
        </row>
        <row r="979">
          <cell r="C979" t="str">
            <v>MPCBS49X/A</v>
          </cell>
          <cell r="D979">
            <v>5056003773026</v>
          </cell>
          <cell r="E979" t="str">
            <v>Single Pole Low pressure Switch</v>
          </cell>
          <cell r="F979" t="str">
            <v>Comb V3, Vortex Pro Combi</v>
          </cell>
          <cell r="G979">
            <v>56.71</v>
          </cell>
        </row>
        <row r="980">
          <cell r="C980" t="str">
            <v>MPCBS62/A</v>
          </cell>
          <cell r="D980">
            <v>5056003773040</v>
          </cell>
          <cell r="E980" t="str">
            <v xml:space="preserve">Low pressure Switch Upgrade Kit </v>
          </cell>
          <cell r="F980" t="str">
            <v>Vortex Pro Internal, Vortex Eco Internal, Vortex Eco WallHung Internal</v>
          </cell>
          <cell r="G980">
            <v>72.150000000000006</v>
          </cell>
        </row>
        <row r="981">
          <cell r="C981" t="str">
            <v>MPCBS63/A</v>
          </cell>
          <cell r="D981">
            <v>5056003773057</v>
          </cell>
          <cell r="E981" t="str">
            <v>Low pressure Switch</v>
          </cell>
          <cell r="F981" t="str">
            <v>Vortex Pro External, Vortex Eco External, Vortex Eco WallHung External</v>
          </cell>
          <cell r="G981">
            <v>92.65</v>
          </cell>
        </row>
        <row r="982">
          <cell r="C982" t="str">
            <v>MPCBS67</v>
          </cell>
          <cell r="D982">
            <v>5056003701043</v>
          </cell>
          <cell r="E982" t="str">
            <v>Heating/Store Switch</v>
          </cell>
          <cell r="F982" t="str">
            <v>Vortex Pro Combi (post Sept 2008)</v>
          </cell>
          <cell r="G982">
            <v>10.59</v>
          </cell>
        </row>
        <row r="983">
          <cell r="C983" t="str">
            <v>MPCBS71NT</v>
          </cell>
          <cell r="D983">
            <v>5056003701203</v>
          </cell>
          <cell r="E983" t="str">
            <v xml:space="preserve">Flow Switch </v>
          </cell>
          <cell r="F983" t="str">
            <v>Vortex Pro Combi 36 (pre 15/05/08)</v>
          </cell>
          <cell r="G983">
            <v>115.64</v>
          </cell>
        </row>
        <row r="984">
          <cell r="C984" t="str">
            <v>MPCBS71X</v>
          </cell>
          <cell r="D984">
            <v>5056003701197</v>
          </cell>
          <cell r="E984" t="str">
            <v xml:space="preserve">Flow Switch </v>
          </cell>
          <cell r="F984" t="str">
            <v>Vortex Pro Combi 21-26kW,  Pro Combi 36kW (post 15/05/08)</v>
          </cell>
          <cell r="G984">
            <v>60.78</v>
          </cell>
        </row>
        <row r="985">
          <cell r="C985" t="str">
            <v>MPCBS84</v>
          </cell>
          <cell r="D985">
            <v>5056003701050</v>
          </cell>
          <cell r="E985" t="str">
            <v>Heating Store Twin Switch</v>
          </cell>
          <cell r="F985" t="str">
            <v>Vortex Pro Combi Internal (pre Sept 2008)</v>
          </cell>
          <cell r="G985">
            <v>12.23</v>
          </cell>
        </row>
        <row r="986">
          <cell r="C986" t="str">
            <v>MPCBS99</v>
          </cell>
          <cell r="D986">
            <v>5056003701180</v>
          </cell>
          <cell r="E986" t="str">
            <v>Timed Test Switch</v>
          </cell>
          <cell r="F986" t="str">
            <v>Vortex Pro Combi</v>
          </cell>
          <cell r="G986">
            <v>15.2</v>
          </cell>
        </row>
        <row r="987">
          <cell r="C987" t="str">
            <v>MPBS21</v>
          </cell>
          <cell r="D987">
            <v>5056003703269</v>
          </cell>
          <cell r="E987" t="str">
            <v>Drain Cock 1/2" BSP</v>
          </cell>
          <cell r="F987" t="str">
            <v>Vortex Pro</v>
          </cell>
          <cell r="G987">
            <v>2.15</v>
          </cell>
        </row>
        <row r="988">
          <cell r="C988" t="str">
            <v>MPCBS100</v>
          </cell>
          <cell r="D988">
            <v>5056003703320</v>
          </cell>
          <cell r="E988" t="str">
            <v>Isolation Valve 28mm (blue handle)</v>
          </cell>
          <cell r="F988" t="str">
            <v>Vortex Pro Combi</v>
          </cell>
          <cell r="G988">
            <v>36.450000000000003</v>
          </cell>
        </row>
        <row r="989">
          <cell r="C989" t="str">
            <v>MPCBS101</v>
          </cell>
          <cell r="D989">
            <v>5056003703337</v>
          </cell>
          <cell r="E989" t="str">
            <v>Isolation Valve 22mm (blue handle)</v>
          </cell>
          <cell r="F989" t="str">
            <v>Comb V3, Vortex Pro Combi</v>
          </cell>
          <cell r="G989">
            <v>35.71</v>
          </cell>
        </row>
        <row r="990">
          <cell r="C990" t="str">
            <v>MPCBS109</v>
          </cell>
          <cell r="D990">
            <v>5056003703351</v>
          </cell>
          <cell r="E990" t="str">
            <v>Isolation Valve</v>
          </cell>
          <cell r="F990" t="str">
            <v>Comb MKII</v>
          </cell>
          <cell r="G990">
            <v>16.3</v>
          </cell>
        </row>
        <row r="991">
          <cell r="C991" t="str">
            <v>MPCBS20/A</v>
          </cell>
          <cell r="D991">
            <v>5056003772982</v>
          </cell>
          <cell r="E991" t="str">
            <v>Diverter Valve</v>
          </cell>
          <cell r="F991" t="str">
            <v>Comb MKII, Comb V3</v>
          </cell>
          <cell r="G991">
            <v>237.33</v>
          </cell>
        </row>
        <row r="992">
          <cell r="C992" t="str">
            <v>MPCBS22F</v>
          </cell>
          <cell r="D992">
            <v>5056003705607</v>
          </cell>
          <cell r="E992" t="str">
            <v>51°C Thermostatic Mixing Valve &amp; Filter</v>
          </cell>
          <cell r="F992" t="str">
            <v>Comb MKII, Comb V3, Vortex Pro Combi</v>
          </cell>
          <cell r="G992">
            <v>104.4</v>
          </cell>
        </row>
        <row r="993">
          <cell r="C993" t="str">
            <v>MPCBS26</v>
          </cell>
          <cell r="D993">
            <v>5056003701111</v>
          </cell>
          <cell r="E993" t="str">
            <v>Non-Return Check Valve (22mm)</v>
          </cell>
          <cell r="F993" t="str">
            <v>Comb MKII, Comb V3, Vortex Pro Combi (pre Apr 2011)</v>
          </cell>
          <cell r="G993">
            <v>22.61</v>
          </cell>
        </row>
        <row r="994">
          <cell r="C994" t="str">
            <v>MPCBS28</v>
          </cell>
          <cell r="D994">
            <v>5056003702644</v>
          </cell>
          <cell r="E994" t="str">
            <v>2.5 bar pressure Relief Valve</v>
          </cell>
          <cell r="F994" t="str">
            <v>Combi Internal MKII, Euroflame Internal , Multipass Internal</v>
          </cell>
          <cell r="G994">
            <v>43.49</v>
          </cell>
        </row>
        <row r="995">
          <cell r="C995" t="str">
            <v>MPCBS29</v>
          </cell>
          <cell r="D995">
            <v>5056003702668</v>
          </cell>
          <cell r="E995" t="str">
            <v>Automatic Air Vent</v>
          </cell>
          <cell r="F995" t="str">
            <v>All models</v>
          </cell>
          <cell r="G995">
            <v>18.41</v>
          </cell>
        </row>
        <row r="996">
          <cell r="C996" t="str">
            <v>MPCBS47</v>
          </cell>
          <cell r="D996">
            <v>5056003702651</v>
          </cell>
          <cell r="E996" t="str">
            <v>2.5 bar pressure Relief Valve</v>
          </cell>
          <cell r="F996" t="str">
            <v>Combi External  MK11, Euroflame External</v>
          </cell>
          <cell r="G996">
            <v>30.27</v>
          </cell>
        </row>
        <row r="997">
          <cell r="C997" t="str">
            <v>MPCBS123</v>
          </cell>
          <cell r="D997">
            <v>5056003701586</v>
          </cell>
          <cell r="E997" t="str">
            <v>3 bar pressure relief valve, 2 port</v>
          </cell>
          <cell r="F997" t="str">
            <v>Comb V3 External, Vortex Pro External, Vortex Eco (All models)</v>
          </cell>
          <cell r="G997">
            <v>28.79</v>
          </cell>
        </row>
        <row r="998">
          <cell r="C998" t="str">
            <v>MPCBS124</v>
          </cell>
          <cell r="D998">
            <v>5056003700404</v>
          </cell>
          <cell r="E998" t="str">
            <v>3 bar pressure relief valve with pressure gauge port</v>
          </cell>
          <cell r="F998" t="str">
            <v>Comb V3 Internal, Vortex Pro Combi (All models), Vortex Pro Internal, Vortex Eco WallHung (All models)</v>
          </cell>
          <cell r="G998">
            <v>28.79</v>
          </cell>
        </row>
        <row r="999">
          <cell r="C999" t="str">
            <v>MPCBS64</v>
          </cell>
          <cell r="D999">
            <v>5056003701104</v>
          </cell>
          <cell r="E999" t="str">
            <v>Pump Valve Pair (28mm)</v>
          </cell>
          <cell r="F999" t="str">
            <v xml:space="preserve">Euroflame, Multipass, Vortex Pro, Vortex Pro Combi, </v>
          </cell>
          <cell r="G999">
            <v>60.18</v>
          </cell>
        </row>
        <row r="1000">
          <cell r="C1000" t="str">
            <v>MPCBS68</v>
          </cell>
          <cell r="D1000">
            <v>5056003701135</v>
          </cell>
          <cell r="E1000" t="str">
            <v>Manual Air Vent</v>
          </cell>
          <cell r="F1000" t="str">
            <v>Vortex Pro Combi</v>
          </cell>
          <cell r="G1000">
            <v>14.52</v>
          </cell>
        </row>
        <row r="1001">
          <cell r="C1001" t="str">
            <v>MPCBS69</v>
          </cell>
          <cell r="D1001">
            <v>5056003701098</v>
          </cell>
          <cell r="E1001" t="str">
            <v>Pump Valve Pair (22mm)</v>
          </cell>
          <cell r="F1001" t="str">
            <v>Euroflame, Multipass, Vortex Pro, Vortex Pro Combi</v>
          </cell>
          <cell r="G1001">
            <v>58.81</v>
          </cell>
        </row>
        <row r="1002">
          <cell r="C1002" t="str">
            <v>MPCBS76</v>
          </cell>
          <cell r="D1002">
            <v>5056003701210</v>
          </cell>
          <cell r="E1002" t="str">
            <v>Filling Loop Heating Isolation Valve (Long)</v>
          </cell>
          <cell r="F1002" t="str">
            <v>Comb MKII, Comb V3, Vortex Pro Combi</v>
          </cell>
          <cell r="G1002">
            <v>23.97</v>
          </cell>
        </row>
        <row r="1003">
          <cell r="C1003" t="str">
            <v>MPCBS76A</v>
          </cell>
          <cell r="D1003">
            <v>5056003704471</v>
          </cell>
          <cell r="E1003" t="str">
            <v>Filling Loop Heating Isolation Valve (Short)</v>
          </cell>
          <cell r="F1003" t="str">
            <v>Comb MKII, Comb V3, Vortex Pro Combi</v>
          </cell>
          <cell r="G1003">
            <v>23.85</v>
          </cell>
        </row>
        <row r="1004">
          <cell r="C1004" t="str">
            <v>MPCBS77</v>
          </cell>
          <cell r="D1004">
            <v>5056003701616</v>
          </cell>
          <cell r="E1004" t="str">
            <v>Pump Isolation Valve (22mm)</v>
          </cell>
          <cell r="F1004" t="str">
            <v>Comb V3, Vortex Pro Combi 21-26KW</v>
          </cell>
          <cell r="G1004">
            <v>31.38</v>
          </cell>
        </row>
        <row r="1005">
          <cell r="C1005" t="str">
            <v>MPCBS78</v>
          </cell>
          <cell r="D1005">
            <v>5056003701227</v>
          </cell>
          <cell r="E1005" t="str">
            <v>Isolation Valve (28mm)</v>
          </cell>
          <cell r="F1005" t="str">
            <v xml:space="preserve">Vortex Pro Combi 36KW </v>
          </cell>
          <cell r="G1005">
            <v>32.74</v>
          </cell>
        </row>
        <row r="1006">
          <cell r="C1006" t="str">
            <v>MPCBS81</v>
          </cell>
          <cell r="D1006">
            <v>5056003701128</v>
          </cell>
          <cell r="E1006" t="str">
            <v>Non Return Valve (28mm)</v>
          </cell>
          <cell r="F1006" t="str">
            <v>Vortex Pro Combi ( pre APRIL 2011)</v>
          </cell>
          <cell r="G1006">
            <v>25.82</v>
          </cell>
        </row>
        <row r="1007">
          <cell r="C1007" t="str">
            <v>MPCBS81B</v>
          </cell>
          <cell r="D1007">
            <v>5056003704501</v>
          </cell>
          <cell r="E1007" t="str">
            <v>Non Return Valve (28mm)</v>
          </cell>
          <cell r="F1007" t="str">
            <v>Vortex Pro Combi (post APRIL 2011)</v>
          </cell>
          <cell r="G1007">
            <v>27.31</v>
          </cell>
        </row>
        <row r="1008">
          <cell r="C1008" t="str">
            <v>VBS02</v>
          </cell>
          <cell r="D1008">
            <v>5056003700954</v>
          </cell>
          <cell r="E1008" t="str">
            <v xml:space="preserve">Condensate Trap </v>
          </cell>
          <cell r="F1008" t="str">
            <v>All Vortex models</v>
          </cell>
          <cell r="G1008">
            <v>47.07</v>
          </cell>
        </row>
        <row r="1009">
          <cell r="C1009" t="str">
            <v>VBS61M</v>
          </cell>
          <cell r="D1009">
            <v>5056003706161</v>
          </cell>
          <cell r="E1009" t="str">
            <v>Manual Air Vent Kit (22mm)</v>
          </cell>
          <cell r="F1009" t="str">
            <v>Vortex Pro 15-26KW, Vortex Eco</v>
          </cell>
          <cell r="G1009">
            <v>27.31</v>
          </cell>
        </row>
        <row r="1010">
          <cell r="C1010" t="str">
            <v>VBS62M</v>
          </cell>
          <cell r="D1010">
            <v>5056003705881</v>
          </cell>
          <cell r="E1010" t="str">
            <v>Manual Air Vent Kit (28mm)</v>
          </cell>
          <cell r="F1010" t="str">
            <v>Vortex Pro 26-46KW</v>
          </cell>
          <cell r="G1010">
            <v>30.03</v>
          </cell>
        </row>
        <row r="1011">
          <cell r="C1011" t="str">
            <v>GS200030</v>
          </cell>
          <cell r="D1011">
            <v>5056003704532</v>
          </cell>
          <cell r="E1011" t="str">
            <v>HE Pump + 1 inch lead</v>
          </cell>
          <cell r="F1011" t="str">
            <v xml:space="preserve">GS222154E, 154G &amp; 413HE Pump station </v>
          </cell>
          <cell r="G1011">
            <v>376.44</v>
          </cell>
        </row>
        <row r="1012">
          <cell r="C1012" t="str">
            <v>GS200032</v>
          </cell>
          <cell r="D1012">
            <v>5056003708059</v>
          </cell>
          <cell r="E1012" t="str">
            <v xml:space="preserve">HE Pump 1 1/2" </v>
          </cell>
          <cell r="F1012" t="str">
            <v>GS222154H Pump station</v>
          </cell>
          <cell r="G1012">
            <v>376.44</v>
          </cell>
        </row>
        <row r="1013">
          <cell r="C1013" t="str">
            <v>GS200033</v>
          </cell>
          <cell r="D1013">
            <v>5056003708318</v>
          </cell>
          <cell r="E1013" t="str">
            <v>HE Pump lead</v>
          </cell>
          <cell r="F1013" t="str">
            <v>GS222154H Pump station (GS200032 pump)</v>
          </cell>
          <cell r="G1013">
            <v>22.4</v>
          </cell>
        </row>
        <row r="1014">
          <cell r="C1014" t="str">
            <v>GS222017</v>
          </cell>
          <cell r="D1014">
            <v>5056003724271</v>
          </cell>
          <cell r="E1014" t="str">
            <v>Collector Clamp (bronze)</v>
          </cell>
          <cell r="G1014">
            <v>16.34</v>
          </cell>
        </row>
        <row r="1015">
          <cell r="C1015" t="str">
            <v>GS222019</v>
          </cell>
          <cell r="D1015">
            <v>5056003704549</v>
          </cell>
          <cell r="E1015" t="str">
            <v>1/2" Solar Relief Valve for Pump Station</v>
          </cell>
          <cell r="G1015">
            <v>26.19</v>
          </cell>
        </row>
        <row r="1016">
          <cell r="C1016" t="str">
            <v>GS222021</v>
          </cell>
          <cell r="D1016">
            <v>5056003706666</v>
          </cell>
          <cell r="E1016" t="str">
            <v xml:space="preserve">Tempereture sensor </v>
          </cell>
          <cell r="F1016" t="str">
            <v>GSD3 Controller</v>
          </cell>
          <cell r="G1016" t="str">
            <v>POA</v>
          </cell>
        </row>
        <row r="1017">
          <cell r="C1017" t="str">
            <v>GS222094/S</v>
          </cell>
          <cell r="D1017">
            <v>5056003724301</v>
          </cell>
          <cell r="E1017" t="str">
            <v>Nutstein &amp; bolt</v>
          </cell>
          <cell r="G1017">
            <v>2.36</v>
          </cell>
        </row>
        <row r="1018">
          <cell r="C1018" t="str">
            <v>GS222766</v>
          </cell>
          <cell r="D1018">
            <v>5056003706574</v>
          </cell>
          <cell r="E1018" t="str">
            <v xml:space="preserve">Tempereture sensor </v>
          </cell>
          <cell r="F1018" t="str">
            <v>SDX1 Controller</v>
          </cell>
          <cell r="G1018">
            <v>13.77</v>
          </cell>
        </row>
        <row r="1019">
          <cell r="C1019" t="str">
            <v>GSE01A</v>
          </cell>
          <cell r="D1019">
            <v>5056003708325</v>
          </cell>
          <cell r="E1019" t="str">
            <v xml:space="preserve">Flow Valve Assembly (Red) </v>
          </cell>
          <cell r="F1019" t="str">
            <v>Post 2012 pump stations</v>
          </cell>
          <cell r="G1019">
            <v>60.7</v>
          </cell>
        </row>
        <row r="1020">
          <cell r="C1020" t="str">
            <v>GSE02</v>
          </cell>
          <cell r="D1020">
            <v>5056003707373</v>
          </cell>
          <cell r="E1020" t="str">
            <v>Flow Valve Assembly (Blue) for GS25514E and GS222413HE  East/West pump station</v>
          </cell>
          <cell r="F1020" t="str">
            <v>Post 2012 pump stations</v>
          </cell>
          <cell r="G1020" t="str">
            <v>POA</v>
          </cell>
        </row>
        <row r="1021">
          <cell r="C1021" t="str">
            <v>GSE03</v>
          </cell>
          <cell r="D1021">
            <v>5056003702996</v>
          </cell>
          <cell r="E1021" t="str">
            <v>Safety Valve Assembly</v>
          </cell>
          <cell r="F1021" t="str">
            <v>Post 2012 pump stations</v>
          </cell>
          <cell r="G1021">
            <v>81.02</v>
          </cell>
        </row>
        <row r="1022">
          <cell r="C1022" t="str">
            <v>GSE04</v>
          </cell>
          <cell r="D1022">
            <v>5056003706833</v>
          </cell>
          <cell r="E1022" t="str">
            <v>Pressure Guage</v>
          </cell>
          <cell r="F1022" t="str">
            <v>Post 2012 pump stations</v>
          </cell>
          <cell r="G1022">
            <v>27.05</v>
          </cell>
        </row>
        <row r="1023">
          <cell r="C1023" t="str">
            <v>GSE07A</v>
          </cell>
          <cell r="D1023">
            <v>5056003702897</v>
          </cell>
          <cell r="E1023" t="str">
            <v>Air Bottle Assembly</v>
          </cell>
          <cell r="F1023" t="str">
            <v>Post 2012 pump stations</v>
          </cell>
          <cell r="G1023">
            <v>67.430000000000007</v>
          </cell>
        </row>
        <row r="1024">
          <cell r="C1024" t="str">
            <v>GSE08A</v>
          </cell>
          <cell r="D1024">
            <v>5056003706505</v>
          </cell>
          <cell r="E1024" t="str">
            <v>Fill/Flush and Flow Regulator Assembly</v>
          </cell>
          <cell r="F1024" t="str">
            <v>Gs222154E, 154G pump stations</v>
          </cell>
          <cell r="G1024">
            <v>155.18</v>
          </cell>
        </row>
        <row r="1025">
          <cell r="C1025" t="str">
            <v>GSE08B</v>
          </cell>
          <cell r="D1025">
            <v>5056003709520</v>
          </cell>
          <cell r="E1025" t="str">
            <v xml:space="preserve">Fill/Flush and Flow Regulator Assembly </v>
          </cell>
          <cell r="F1025" t="str">
            <v xml:space="preserve">GS222154H pumpstation </v>
          </cell>
          <cell r="G1025">
            <v>130.83000000000001</v>
          </cell>
        </row>
        <row r="1026">
          <cell r="C1026" t="str">
            <v>TIGERLOOP2</v>
          </cell>
          <cell r="D1026">
            <v>5056003777796</v>
          </cell>
          <cell r="E1026" t="str">
            <v>Tigerloop Bio (metal body)</v>
          </cell>
          <cell r="G1026">
            <v>229.79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EB62-996A-44E7-8838-1BCAEC97D233}">
  <sheetPr>
    <pageSetUpPr fitToPage="1"/>
  </sheetPr>
  <dimension ref="A1:K1078"/>
  <sheetViews>
    <sheetView tabSelected="1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C8" sqref="C8"/>
    </sheetView>
  </sheetViews>
  <sheetFormatPr defaultColWidth="9.26953125" defaultRowHeight="13" x14ac:dyDescent="0.3"/>
  <cols>
    <col min="1" max="1" width="14.7265625" style="2" customWidth="1"/>
    <col min="2" max="2" width="19.26953125" style="2" customWidth="1"/>
    <col min="3" max="3" width="19.453125" style="2" bestFit="1" customWidth="1"/>
    <col min="4" max="4" width="20.26953125" style="6" customWidth="1"/>
    <col min="5" max="5" width="51.81640625" style="19" bestFit="1" customWidth="1"/>
    <col min="6" max="6" width="62.26953125" style="19" customWidth="1"/>
    <col min="7" max="7" width="12.453125" style="30" customWidth="1"/>
    <col min="8" max="8" width="1.453125" style="2" customWidth="1"/>
    <col min="9" max="16384" width="9.26953125" style="2"/>
  </cols>
  <sheetData>
    <row r="1" spans="1:10" s="1" customFormat="1" x14ac:dyDescent="0.35">
      <c r="A1" s="57" t="s">
        <v>2331</v>
      </c>
      <c r="B1" s="57"/>
      <c r="C1" s="57"/>
      <c r="D1" s="57"/>
      <c r="E1" s="57"/>
      <c r="F1" s="57"/>
      <c r="G1" s="57"/>
    </row>
    <row r="2" spans="1:10" s="1" customFormat="1" x14ac:dyDescent="0.35">
      <c r="A2" s="57"/>
      <c r="B2" s="57"/>
      <c r="C2" s="57"/>
      <c r="D2" s="57"/>
      <c r="E2" s="57"/>
      <c r="F2" s="57"/>
      <c r="G2" s="57"/>
    </row>
    <row r="3" spans="1:10" x14ac:dyDescent="0.3">
      <c r="A3" s="57"/>
      <c r="B3" s="57"/>
      <c r="C3" s="57"/>
      <c r="D3" s="57"/>
      <c r="E3" s="57"/>
      <c r="F3" s="57"/>
      <c r="G3" s="57"/>
    </row>
    <row r="4" spans="1:10" ht="37.9" customHeight="1" x14ac:dyDescent="0.3">
      <c r="A4" s="3" t="s">
        <v>0</v>
      </c>
      <c r="B4" s="3" t="s">
        <v>1</v>
      </c>
      <c r="C4" s="3" t="s">
        <v>2350</v>
      </c>
      <c r="D4" s="4" t="s">
        <v>2</v>
      </c>
      <c r="E4" s="5" t="s">
        <v>2351</v>
      </c>
      <c r="F4" s="5" t="s">
        <v>3</v>
      </c>
      <c r="G4" s="32" t="s">
        <v>2352</v>
      </c>
      <c r="I4" s="32" t="s">
        <v>2329</v>
      </c>
      <c r="J4" s="32" t="s">
        <v>2330</v>
      </c>
    </row>
    <row r="5" spans="1:10" x14ac:dyDescent="0.3">
      <c r="A5" s="34" t="s">
        <v>828</v>
      </c>
      <c r="B5" s="35" t="s">
        <v>1719</v>
      </c>
      <c r="C5" s="35" t="s">
        <v>1961</v>
      </c>
      <c r="D5" s="28">
        <v>5056003779271</v>
      </c>
      <c r="E5" s="35" t="s">
        <v>2163</v>
      </c>
      <c r="F5" s="19" t="s">
        <v>1684</v>
      </c>
      <c r="G5" s="31">
        <v>16.86</v>
      </c>
      <c r="I5" s="2">
        <f>VLOOKUP(C5,[1]Sheet1!$C:$G,5,FALSE)</f>
        <v>16.86</v>
      </c>
      <c r="J5" s="33">
        <f t="shared" ref="J5:J29" si="0">(G5-I5)/I5</f>
        <v>0</v>
      </c>
    </row>
    <row r="6" spans="1:10" x14ac:dyDescent="0.3">
      <c r="A6" s="26" t="s">
        <v>828</v>
      </c>
      <c r="B6" s="35" t="s">
        <v>1719</v>
      </c>
      <c r="C6" s="8" t="s">
        <v>1947</v>
      </c>
      <c r="D6" s="28">
        <v>5056003779288</v>
      </c>
      <c r="E6" s="8" t="s">
        <v>2058</v>
      </c>
      <c r="F6" s="12" t="s">
        <v>1684</v>
      </c>
      <c r="G6" s="31">
        <v>16.86</v>
      </c>
      <c r="I6" s="2">
        <f>VLOOKUP(C6,[1]Sheet1!$C:$G,5,FALSE)</f>
        <v>16.86</v>
      </c>
      <c r="J6" s="33">
        <f t="shared" si="0"/>
        <v>0</v>
      </c>
    </row>
    <row r="7" spans="1:10" x14ac:dyDescent="0.3">
      <c r="A7" s="26" t="s">
        <v>828</v>
      </c>
      <c r="B7" s="35" t="s">
        <v>1719</v>
      </c>
      <c r="C7" s="8" t="s">
        <v>1948</v>
      </c>
      <c r="D7" s="28">
        <v>5056003779608</v>
      </c>
      <c r="E7" s="8" t="s">
        <v>2059</v>
      </c>
      <c r="F7" s="12" t="s">
        <v>1684</v>
      </c>
      <c r="G7" s="31">
        <v>16.86</v>
      </c>
      <c r="I7" s="2">
        <f>VLOOKUP(C7,[1]Sheet1!$C:$G,5,FALSE)</f>
        <v>16.86</v>
      </c>
      <c r="J7" s="33">
        <f t="shared" si="0"/>
        <v>0</v>
      </c>
    </row>
    <row r="8" spans="1:10" x14ac:dyDescent="0.3">
      <c r="A8" s="26" t="s">
        <v>828</v>
      </c>
      <c r="B8" s="35" t="s">
        <v>1719</v>
      </c>
      <c r="C8" s="8" t="s">
        <v>1949</v>
      </c>
      <c r="D8" s="28">
        <v>5056003779295</v>
      </c>
      <c r="E8" s="8" t="s">
        <v>2060</v>
      </c>
      <c r="F8" s="12" t="s">
        <v>1684</v>
      </c>
      <c r="G8" s="31">
        <v>16.86</v>
      </c>
      <c r="I8" s="2">
        <f>VLOOKUP(C8,[1]Sheet1!$C:$G,5,FALSE)</f>
        <v>16.86</v>
      </c>
      <c r="J8" s="33">
        <f t="shared" si="0"/>
        <v>0</v>
      </c>
    </row>
    <row r="9" spans="1:10" x14ac:dyDescent="0.3">
      <c r="A9" s="26" t="s">
        <v>828</v>
      </c>
      <c r="B9" s="35" t="s">
        <v>1719</v>
      </c>
      <c r="C9" s="8" t="s">
        <v>1950</v>
      </c>
      <c r="D9" s="28">
        <v>5056003779318</v>
      </c>
      <c r="E9" s="8" t="s">
        <v>2061</v>
      </c>
      <c r="F9" s="12" t="s">
        <v>1684</v>
      </c>
      <c r="G9" s="31">
        <v>16.86</v>
      </c>
      <c r="I9" s="2">
        <f>VLOOKUP(C9,[1]Sheet1!$C:$G,5,FALSE)</f>
        <v>16.86</v>
      </c>
      <c r="J9" s="33">
        <f t="shared" si="0"/>
        <v>0</v>
      </c>
    </row>
    <row r="10" spans="1:10" x14ac:dyDescent="0.3">
      <c r="A10" s="26" t="s">
        <v>828</v>
      </c>
      <c r="B10" s="35" t="s">
        <v>1719</v>
      </c>
      <c r="C10" s="8" t="s">
        <v>1951</v>
      </c>
      <c r="D10" s="28">
        <v>5056003779349</v>
      </c>
      <c r="E10" s="8" t="s">
        <v>2062</v>
      </c>
      <c r="F10" s="12" t="s">
        <v>1684</v>
      </c>
      <c r="G10" s="31">
        <v>16.86</v>
      </c>
      <c r="I10" s="2">
        <f>VLOOKUP(C10,[1]Sheet1!$C:$G,5,FALSE)</f>
        <v>16.86</v>
      </c>
      <c r="J10" s="33">
        <f t="shared" si="0"/>
        <v>0</v>
      </c>
    </row>
    <row r="11" spans="1:10" x14ac:dyDescent="0.3">
      <c r="A11" s="26" t="s">
        <v>828</v>
      </c>
      <c r="B11" s="35" t="s">
        <v>1719</v>
      </c>
      <c r="C11" s="8" t="s">
        <v>1952</v>
      </c>
      <c r="D11" s="28">
        <v>5056003779301</v>
      </c>
      <c r="E11" s="8" t="s">
        <v>2063</v>
      </c>
      <c r="F11" s="12" t="s">
        <v>1684</v>
      </c>
      <c r="G11" s="31">
        <v>16.86</v>
      </c>
      <c r="I11" s="2">
        <f>VLOOKUP(C11,[1]Sheet1!$C:$G,5,FALSE)</f>
        <v>16.86</v>
      </c>
      <c r="J11" s="33">
        <f t="shared" si="0"/>
        <v>0</v>
      </c>
    </row>
    <row r="12" spans="1:10" x14ac:dyDescent="0.3">
      <c r="A12" s="26" t="s">
        <v>828</v>
      </c>
      <c r="B12" s="35" t="s">
        <v>1719</v>
      </c>
      <c r="C12" s="8" t="s">
        <v>1953</v>
      </c>
      <c r="D12" s="28">
        <v>5056003779325</v>
      </c>
      <c r="E12" s="8" t="s">
        <v>2064</v>
      </c>
      <c r="F12" s="12" t="s">
        <v>1684</v>
      </c>
      <c r="G12" s="31">
        <v>16.86</v>
      </c>
      <c r="I12" s="2">
        <f>VLOOKUP(C12,[1]Sheet1!$C:$G,5,FALSE)</f>
        <v>16.86</v>
      </c>
      <c r="J12" s="33">
        <f t="shared" si="0"/>
        <v>0</v>
      </c>
    </row>
    <row r="13" spans="1:10" x14ac:dyDescent="0.3">
      <c r="A13" s="26" t="s">
        <v>828</v>
      </c>
      <c r="B13" s="35" t="s">
        <v>1719</v>
      </c>
      <c r="C13" s="8" t="s">
        <v>1954</v>
      </c>
      <c r="D13" s="28">
        <v>5056003779332</v>
      </c>
      <c r="E13" s="8" t="s">
        <v>2065</v>
      </c>
      <c r="F13" s="12" t="s">
        <v>1684</v>
      </c>
      <c r="G13" s="31">
        <v>16.86</v>
      </c>
      <c r="I13" s="2">
        <f>VLOOKUP(C13,[1]Sheet1!$C:$G,5,FALSE)</f>
        <v>16.86</v>
      </c>
      <c r="J13" s="33">
        <f t="shared" si="0"/>
        <v>0</v>
      </c>
    </row>
    <row r="14" spans="1:10" x14ac:dyDescent="0.3">
      <c r="A14" s="26" t="s">
        <v>828</v>
      </c>
      <c r="B14" s="35" t="s">
        <v>1719</v>
      </c>
      <c r="C14" s="8" t="s">
        <v>1955</v>
      </c>
      <c r="D14" s="28">
        <v>5056003779356</v>
      </c>
      <c r="E14" s="8" t="s">
        <v>2066</v>
      </c>
      <c r="F14" s="12" t="s">
        <v>1684</v>
      </c>
      <c r="G14" s="31">
        <v>16.86</v>
      </c>
      <c r="I14" s="2">
        <f>VLOOKUP(C14,[1]Sheet1!$C:$G,5,FALSE)</f>
        <v>16.86</v>
      </c>
      <c r="J14" s="33">
        <f t="shared" si="0"/>
        <v>0</v>
      </c>
    </row>
    <row r="15" spans="1:10" x14ac:dyDescent="0.3">
      <c r="A15" s="26" t="s">
        <v>828</v>
      </c>
      <c r="B15" s="35" t="s">
        <v>1719</v>
      </c>
      <c r="C15" s="8" t="s">
        <v>1956</v>
      </c>
      <c r="D15" s="28">
        <v>5056003779363</v>
      </c>
      <c r="E15" s="8" t="s">
        <v>2067</v>
      </c>
      <c r="F15" s="12" t="s">
        <v>1684</v>
      </c>
      <c r="G15" s="31">
        <v>16.86</v>
      </c>
      <c r="I15" s="2">
        <f>VLOOKUP(C15,[1]Sheet1!$C:$G,5,FALSE)</f>
        <v>16.86</v>
      </c>
      <c r="J15" s="33">
        <f t="shared" si="0"/>
        <v>0</v>
      </c>
    </row>
    <row r="16" spans="1:10" x14ac:dyDescent="0.3">
      <c r="A16" s="26" t="s">
        <v>828</v>
      </c>
      <c r="B16" s="35" t="s">
        <v>1719</v>
      </c>
      <c r="C16" s="8" t="s">
        <v>1957</v>
      </c>
      <c r="D16" s="28">
        <v>5056003779370</v>
      </c>
      <c r="E16" s="8" t="s">
        <v>2068</v>
      </c>
      <c r="F16" s="12" t="s">
        <v>1684</v>
      </c>
      <c r="G16" s="31">
        <v>16.86</v>
      </c>
      <c r="I16" s="2">
        <f>VLOOKUP(C16,[1]Sheet1!$C:$G,5,FALSE)</f>
        <v>16.86</v>
      </c>
      <c r="J16" s="33">
        <f t="shared" si="0"/>
        <v>0</v>
      </c>
    </row>
    <row r="17" spans="1:10" x14ac:dyDescent="0.3">
      <c r="A17" s="26" t="s">
        <v>828</v>
      </c>
      <c r="B17" s="35" t="s">
        <v>1719</v>
      </c>
      <c r="C17" s="8" t="s">
        <v>1958</v>
      </c>
      <c r="D17" s="28">
        <v>5056003779387</v>
      </c>
      <c r="E17" s="8" t="s">
        <v>2069</v>
      </c>
      <c r="F17" s="12" t="s">
        <v>1684</v>
      </c>
      <c r="G17" s="31">
        <v>16.86</v>
      </c>
      <c r="I17" s="2">
        <f>VLOOKUP(C17,[1]Sheet1!$C:$G,5,FALSE)</f>
        <v>16.86</v>
      </c>
      <c r="J17" s="33">
        <f t="shared" si="0"/>
        <v>0</v>
      </c>
    </row>
    <row r="18" spans="1:10" x14ac:dyDescent="0.3">
      <c r="A18" s="26" t="s">
        <v>828</v>
      </c>
      <c r="B18" s="35" t="s">
        <v>1719</v>
      </c>
      <c r="C18" s="8" t="s">
        <v>1937</v>
      </c>
      <c r="D18" s="28">
        <v>5056003779394</v>
      </c>
      <c r="E18" s="8" t="s">
        <v>2048</v>
      </c>
      <c r="F18" s="12" t="s">
        <v>1684</v>
      </c>
      <c r="G18" s="31">
        <v>16.86</v>
      </c>
      <c r="I18" s="2">
        <f>VLOOKUP(C18,[1]Sheet1!$C:$G,5,FALSE)</f>
        <v>16.86</v>
      </c>
      <c r="J18" s="33">
        <f t="shared" si="0"/>
        <v>0</v>
      </c>
    </row>
    <row r="19" spans="1:10" x14ac:dyDescent="0.3">
      <c r="A19" s="26" t="s">
        <v>828</v>
      </c>
      <c r="B19" s="35" t="s">
        <v>1719</v>
      </c>
      <c r="C19" s="8" t="s">
        <v>1938</v>
      </c>
      <c r="D19" s="28">
        <v>5056003779189</v>
      </c>
      <c r="E19" s="8" t="s">
        <v>2049</v>
      </c>
      <c r="F19" s="12" t="s">
        <v>1684</v>
      </c>
      <c r="G19" s="31">
        <v>16.86</v>
      </c>
      <c r="I19" s="2">
        <f>VLOOKUP(C19,[1]Sheet1!$C:$G,5,FALSE)</f>
        <v>16.86</v>
      </c>
      <c r="J19" s="33">
        <f t="shared" si="0"/>
        <v>0</v>
      </c>
    </row>
    <row r="20" spans="1:10" x14ac:dyDescent="0.3">
      <c r="A20" s="26" t="s">
        <v>828</v>
      </c>
      <c r="B20" s="35" t="s">
        <v>1719</v>
      </c>
      <c r="C20" s="8" t="s">
        <v>1939</v>
      </c>
      <c r="D20" s="28">
        <v>5056003779219</v>
      </c>
      <c r="E20" s="8" t="s">
        <v>2050</v>
      </c>
      <c r="F20" s="12" t="s">
        <v>1684</v>
      </c>
      <c r="G20" s="31">
        <v>16.86</v>
      </c>
      <c r="I20" s="2">
        <f>VLOOKUP(C20,[1]Sheet1!$C:$G,5,FALSE)</f>
        <v>16.86</v>
      </c>
      <c r="J20" s="33">
        <f t="shared" si="0"/>
        <v>0</v>
      </c>
    </row>
    <row r="21" spans="1:10" x14ac:dyDescent="0.3">
      <c r="A21" s="26" t="s">
        <v>828</v>
      </c>
      <c r="B21" s="35" t="s">
        <v>1719</v>
      </c>
      <c r="C21" s="8" t="s">
        <v>1940</v>
      </c>
      <c r="D21" s="28">
        <v>5056003779226</v>
      </c>
      <c r="E21" s="8" t="s">
        <v>2051</v>
      </c>
      <c r="F21" s="12" t="s">
        <v>1684</v>
      </c>
      <c r="G21" s="31">
        <v>16.86</v>
      </c>
      <c r="I21" s="2">
        <f>VLOOKUP(C21,[1]Sheet1!$C:$G,5,FALSE)</f>
        <v>16.86</v>
      </c>
      <c r="J21" s="33">
        <f t="shared" si="0"/>
        <v>0</v>
      </c>
    </row>
    <row r="22" spans="1:10" x14ac:dyDescent="0.3">
      <c r="A22" s="26" t="s">
        <v>828</v>
      </c>
      <c r="B22" s="35" t="s">
        <v>1719</v>
      </c>
      <c r="C22" s="8" t="s">
        <v>1941</v>
      </c>
      <c r="D22" s="28">
        <v>5056003779400</v>
      </c>
      <c r="E22" s="8" t="s">
        <v>2052</v>
      </c>
      <c r="F22" s="12" t="s">
        <v>1684</v>
      </c>
      <c r="G22" s="31">
        <v>16.86</v>
      </c>
      <c r="I22" s="2">
        <f>VLOOKUP(C22,[1]Sheet1!$C:$G,5,FALSE)</f>
        <v>16.86</v>
      </c>
      <c r="J22" s="33">
        <f t="shared" si="0"/>
        <v>0</v>
      </c>
    </row>
    <row r="23" spans="1:10" x14ac:dyDescent="0.3">
      <c r="A23" s="26" t="s">
        <v>828</v>
      </c>
      <c r="B23" s="35" t="s">
        <v>1719</v>
      </c>
      <c r="C23" s="8" t="s">
        <v>1942</v>
      </c>
      <c r="D23" s="28">
        <v>5056003779196</v>
      </c>
      <c r="E23" s="8" t="s">
        <v>2053</v>
      </c>
      <c r="F23" s="12" t="s">
        <v>1684</v>
      </c>
      <c r="G23" s="31">
        <v>16.86</v>
      </c>
      <c r="I23" s="2">
        <f>VLOOKUP(C23,[1]Sheet1!$C:$G,5,FALSE)</f>
        <v>16.86</v>
      </c>
      <c r="J23" s="33">
        <f t="shared" si="0"/>
        <v>0</v>
      </c>
    </row>
    <row r="24" spans="1:10" x14ac:dyDescent="0.3">
      <c r="A24" s="26" t="s">
        <v>828</v>
      </c>
      <c r="B24" s="35" t="s">
        <v>1719</v>
      </c>
      <c r="C24" s="8" t="s">
        <v>1943</v>
      </c>
      <c r="D24" s="28">
        <v>5056003779417</v>
      </c>
      <c r="E24" s="8" t="s">
        <v>2054</v>
      </c>
      <c r="F24" s="12" t="s">
        <v>1684</v>
      </c>
      <c r="G24" s="31">
        <v>16.86</v>
      </c>
      <c r="I24" s="2">
        <f>VLOOKUP(C24,[1]Sheet1!$C:$G,5,FALSE)</f>
        <v>16.86</v>
      </c>
      <c r="J24" s="33">
        <f t="shared" si="0"/>
        <v>0</v>
      </c>
    </row>
    <row r="25" spans="1:10" x14ac:dyDescent="0.3">
      <c r="A25" s="26" t="s">
        <v>828</v>
      </c>
      <c r="B25" s="35" t="s">
        <v>1719</v>
      </c>
      <c r="C25" s="8" t="s">
        <v>1944</v>
      </c>
      <c r="D25" s="28">
        <v>5056003779202</v>
      </c>
      <c r="E25" s="8" t="s">
        <v>2055</v>
      </c>
      <c r="F25" s="12" t="s">
        <v>1684</v>
      </c>
      <c r="G25" s="31">
        <v>16.86</v>
      </c>
      <c r="I25" s="2">
        <f>VLOOKUP(C25,[1]Sheet1!$C:$G,5,FALSE)</f>
        <v>16.86</v>
      </c>
      <c r="J25" s="33">
        <f t="shared" si="0"/>
        <v>0</v>
      </c>
    </row>
    <row r="26" spans="1:10" x14ac:dyDescent="0.3">
      <c r="A26" s="26" t="s">
        <v>828</v>
      </c>
      <c r="B26" s="35" t="s">
        <v>1719</v>
      </c>
      <c r="C26" s="8" t="s">
        <v>1945</v>
      </c>
      <c r="D26" s="28">
        <v>5056003779233</v>
      </c>
      <c r="E26" s="8" t="s">
        <v>2056</v>
      </c>
      <c r="F26" s="12" t="s">
        <v>1684</v>
      </c>
      <c r="G26" s="31">
        <v>16.86</v>
      </c>
      <c r="I26" s="2">
        <f>VLOOKUP(C26,[1]Sheet1!$C:$G,5,FALSE)</f>
        <v>16.86</v>
      </c>
      <c r="J26" s="33">
        <f t="shared" si="0"/>
        <v>0</v>
      </c>
    </row>
    <row r="27" spans="1:10" x14ac:dyDescent="0.3">
      <c r="A27" s="26" t="s">
        <v>828</v>
      </c>
      <c r="B27" s="35" t="s">
        <v>1719</v>
      </c>
      <c r="C27" s="8" t="s">
        <v>1960</v>
      </c>
      <c r="D27" s="28">
        <v>5056003779240</v>
      </c>
      <c r="E27" s="8" t="s">
        <v>2162</v>
      </c>
      <c r="F27" s="12" t="s">
        <v>1684</v>
      </c>
      <c r="G27" s="31">
        <v>16.86</v>
      </c>
      <c r="I27" s="2">
        <f>VLOOKUP(C27,[1]Sheet1!$C:$G,5,FALSE)</f>
        <v>16.86</v>
      </c>
      <c r="J27" s="33">
        <f t="shared" si="0"/>
        <v>0</v>
      </c>
    </row>
    <row r="28" spans="1:10" x14ac:dyDescent="0.3">
      <c r="A28" s="26" t="s">
        <v>828</v>
      </c>
      <c r="B28" s="35" t="s">
        <v>1719</v>
      </c>
      <c r="C28" s="8" t="s">
        <v>1946</v>
      </c>
      <c r="D28" s="28">
        <v>5056003779264</v>
      </c>
      <c r="E28" s="8" t="s">
        <v>2057</v>
      </c>
      <c r="F28" s="12" t="s">
        <v>1684</v>
      </c>
      <c r="G28" s="31">
        <v>16.86</v>
      </c>
      <c r="I28" s="2">
        <f>VLOOKUP(C28,[1]Sheet1!$C:$G,5,FALSE)</f>
        <v>16.86</v>
      </c>
      <c r="J28" s="33">
        <f t="shared" si="0"/>
        <v>0</v>
      </c>
    </row>
    <row r="29" spans="1:10" x14ac:dyDescent="0.3">
      <c r="A29" s="26" t="s">
        <v>828</v>
      </c>
      <c r="B29" s="35" t="s">
        <v>1719</v>
      </c>
      <c r="C29" s="8" t="s">
        <v>1959</v>
      </c>
      <c r="D29" s="28">
        <v>5056003779257</v>
      </c>
      <c r="E29" s="8" t="s">
        <v>2161</v>
      </c>
      <c r="F29" s="12" t="s">
        <v>1684</v>
      </c>
      <c r="G29" s="31">
        <v>16.86</v>
      </c>
      <c r="I29" s="2">
        <f>VLOOKUP(C29,[1]Sheet1!$C:$G,5,FALSE)</f>
        <v>16.86</v>
      </c>
      <c r="J29" s="33">
        <f t="shared" si="0"/>
        <v>0</v>
      </c>
    </row>
    <row r="30" spans="1:10" x14ac:dyDescent="0.3">
      <c r="A30" s="26" t="s">
        <v>828</v>
      </c>
      <c r="B30" s="35" t="s">
        <v>1720</v>
      </c>
      <c r="C30" s="8" t="s">
        <v>1721</v>
      </c>
      <c r="D30" s="6">
        <v>5056003700534</v>
      </c>
      <c r="E30" s="9" t="s">
        <v>1722</v>
      </c>
      <c r="F30" s="9" t="s">
        <v>1723</v>
      </c>
      <c r="G30" s="31">
        <v>94.573499999999996</v>
      </c>
      <c r="I30" s="2">
        <f>VLOOKUP(C30,[1]Sheet1!$C:$G,5,FALSE)</f>
        <v>90.07</v>
      </c>
      <c r="J30" s="33">
        <f>(G30-I30)/I30</f>
        <v>5.0000000000000031E-2</v>
      </c>
    </row>
    <row r="31" spans="1:10" x14ac:dyDescent="0.3">
      <c r="A31" s="26" t="s">
        <v>828</v>
      </c>
      <c r="B31" s="35" t="s">
        <v>1720</v>
      </c>
      <c r="C31" s="8" t="s">
        <v>1724</v>
      </c>
      <c r="D31" s="6">
        <v>5056003705591</v>
      </c>
      <c r="E31" s="9" t="s">
        <v>1722</v>
      </c>
      <c r="F31" s="9" t="s">
        <v>1725</v>
      </c>
      <c r="G31" s="31">
        <v>100.149</v>
      </c>
      <c r="I31" s="2">
        <f>VLOOKUP(C31,[1]Sheet1!$C:$G,5,FALSE)</f>
        <v>95.38</v>
      </c>
      <c r="J31" s="33">
        <f t="shared" ref="J31:J94" si="1">(G31-I31)/I31</f>
        <v>5.0000000000000058E-2</v>
      </c>
    </row>
    <row r="32" spans="1:10" x14ac:dyDescent="0.3">
      <c r="A32" s="26" t="s">
        <v>828</v>
      </c>
      <c r="B32" s="35" t="s">
        <v>991</v>
      </c>
      <c r="C32" s="8" t="s">
        <v>992</v>
      </c>
      <c r="D32" s="6">
        <v>5056003702422</v>
      </c>
      <c r="E32" s="9" t="s">
        <v>993</v>
      </c>
      <c r="F32" s="9" t="s">
        <v>994</v>
      </c>
      <c r="G32" s="31" t="s">
        <v>92</v>
      </c>
      <c r="I32" s="2" t="str">
        <f>VLOOKUP(C32,[1]Sheet1!$C:$G,5,FALSE)</f>
        <v>POA</v>
      </c>
      <c r="J32" s="33"/>
    </row>
    <row r="33" spans="1:10" x14ac:dyDescent="0.3">
      <c r="A33" s="26" t="s">
        <v>828</v>
      </c>
      <c r="B33" s="35" t="s">
        <v>991</v>
      </c>
      <c r="C33" s="8" t="s">
        <v>995</v>
      </c>
      <c r="D33" s="6">
        <v>5056003702439</v>
      </c>
      <c r="E33" s="9" t="s">
        <v>996</v>
      </c>
      <c r="F33" s="9" t="s">
        <v>997</v>
      </c>
      <c r="G33" s="31" t="s">
        <v>92</v>
      </c>
      <c r="I33" s="2" t="str">
        <f>VLOOKUP(C33,[1]Sheet1!$C:$G,5,FALSE)</f>
        <v>POA</v>
      </c>
      <c r="J33" s="33"/>
    </row>
    <row r="34" spans="1:10" x14ac:dyDescent="0.3">
      <c r="A34" s="26" t="s">
        <v>828</v>
      </c>
      <c r="B34" s="35" t="s">
        <v>991</v>
      </c>
      <c r="C34" s="8" t="s">
        <v>998</v>
      </c>
      <c r="D34" s="6">
        <v>5056003704853</v>
      </c>
      <c r="E34" s="9" t="s">
        <v>999</v>
      </c>
      <c r="F34" s="9" t="s">
        <v>997</v>
      </c>
      <c r="G34" s="31" t="s">
        <v>92</v>
      </c>
      <c r="I34" s="2" t="str">
        <f>VLOOKUP(C34,[1]Sheet1!$C:$G,5,FALSE)</f>
        <v>POA</v>
      </c>
      <c r="J34" s="33"/>
    </row>
    <row r="35" spans="1:10" x14ac:dyDescent="0.3">
      <c r="A35" s="26" t="s">
        <v>828</v>
      </c>
      <c r="B35" s="35" t="s">
        <v>991</v>
      </c>
      <c r="C35" s="8" t="s">
        <v>1000</v>
      </c>
      <c r="D35" s="6">
        <v>5056003702446</v>
      </c>
      <c r="E35" s="9" t="s">
        <v>1001</v>
      </c>
      <c r="F35" s="9" t="s">
        <v>994</v>
      </c>
      <c r="G35" s="31" t="s">
        <v>92</v>
      </c>
      <c r="I35" s="2" t="str">
        <f>VLOOKUP(C35,[1]Sheet1!$C:$G,5,FALSE)</f>
        <v>POA</v>
      </c>
      <c r="J35" s="33"/>
    </row>
    <row r="36" spans="1:10" x14ac:dyDescent="0.3">
      <c r="A36" s="26" t="s">
        <v>828</v>
      </c>
      <c r="B36" s="35" t="s">
        <v>991</v>
      </c>
      <c r="C36" s="8" t="s">
        <v>1002</v>
      </c>
      <c r="D36" s="6">
        <v>5056003708028</v>
      </c>
      <c r="E36" s="9" t="s">
        <v>1003</v>
      </c>
      <c r="F36" s="9" t="s">
        <v>997</v>
      </c>
      <c r="G36" s="31" t="s">
        <v>92</v>
      </c>
      <c r="I36" s="2" t="str">
        <f>VLOOKUP(C36,[1]Sheet1!$C:$G,5,FALSE)</f>
        <v>POA</v>
      </c>
      <c r="J36" s="33"/>
    </row>
    <row r="37" spans="1:10" x14ac:dyDescent="0.3">
      <c r="A37" s="26" t="s">
        <v>828</v>
      </c>
      <c r="B37" s="35" t="s">
        <v>991</v>
      </c>
      <c r="C37" s="8" t="s">
        <v>1004</v>
      </c>
      <c r="D37" s="6">
        <v>5056003702453</v>
      </c>
      <c r="E37" s="9" t="s">
        <v>1005</v>
      </c>
      <c r="F37" s="9" t="s">
        <v>997</v>
      </c>
      <c r="G37" s="31" t="s">
        <v>92</v>
      </c>
      <c r="I37" s="2" t="str">
        <f>VLOOKUP(C37,[1]Sheet1!$C:$G,5,FALSE)</f>
        <v>POA</v>
      </c>
      <c r="J37" s="33"/>
    </row>
    <row r="38" spans="1:10" x14ac:dyDescent="0.3">
      <c r="A38" s="26" t="s">
        <v>828</v>
      </c>
      <c r="B38" s="35" t="s">
        <v>991</v>
      </c>
      <c r="C38" s="8" t="s">
        <v>1006</v>
      </c>
      <c r="D38" s="6">
        <v>5056003702460</v>
      </c>
      <c r="E38" s="9" t="s">
        <v>200</v>
      </c>
      <c r="F38" s="9" t="s">
        <v>997</v>
      </c>
      <c r="G38" s="31" t="s">
        <v>92</v>
      </c>
      <c r="I38" s="2" t="str">
        <f>VLOOKUP(C38,[1]Sheet1!$C:$G,5,FALSE)</f>
        <v>POA</v>
      </c>
      <c r="J38" s="33"/>
    </row>
    <row r="39" spans="1:10" x14ac:dyDescent="0.3">
      <c r="A39" s="26" t="s">
        <v>828</v>
      </c>
      <c r="B39" s="35" t="s">
        <v>991</v>
      </c>
      <c r="C39" s="8" t="s">
        <v>1007</v>
      </c>
      <c r="D39" s="6">
        <v>5056003702477</v>
      </c>
      <c r="E39" s="9" t="s">
        <v>1008</v>
      </c>
      <c r="F39" s="9" t="s">
        <v>997</v>
      </c>
      <c r="G39" s="31" t="s">
        <v>92</v>
      </c>
      <c r="I39" s="2" t="str">
        <f>VLOOKUP(C39,[1]Sheet1!$C:$G,5,FALSE)</f>
        <v>POA</v>
      </c>
      <c r="J39" s="33"/>
    </row>
    <row r="40" spans="1:10" x14ac:dyDescent="0.3">
      <c r="A40" s="26" t="s">
        <v>828</v>
      </c>
      <c r="B40" s="35" t="s">
        <v>991</v>
      </c>
      <c r="C40" s="8" t="s">
        <v>1009</v>
      </c>
      <c r="D40" s="6">
        <v>5056003702491</v>
      </c>
      <c r="E40" s="9" t="s">
        <v>1010</v>
      </c>
      <c r="F40" s="9" t="s">
        <v>997</v>
      </c>
      <c r="G40" s="31" t="s">
        <v>92</v>
      </c>
      <c r="I40" s="2" t="str">
        <f>VLOOKUP(C40,[1]Sheet1!$C:$G,5,FALSE)</f>
        <v>POA</v>
      </c>
      <c r="J40" s="33"/>
    </row>
    <row r="41" spans="1:10" x14ac:dyDescent="0.3">
      <c r="A41" s="26" t="s">
        <v>828</v>
      </c>
      <c r="B41" s="35" t="s">
        <v>991</v>
      </c>
      <c r="C41" s="8" t="s">
        <v>1011</v>
      </c>
      <c r="D41" s="6">
        <v>5056003702507</v>
      </c>
      <c r="E41" s="9" t="s">
        <v>1012</v>
      </c>
      <c r="F41" s="9" t="s">
        <v>997</v>
      </c>
      <c r="G41" s="31" t="s">
        <v>92</v>
      </c>
      <c r="I41" s="2" t="str">
        <f>VLOOKUP(C41,[1]Sheet1!$C:$G,5,FALSE)</f>
        <v>POA</v>
      </c>
      <c r="J41" s="33"/>
    </row>
    <row r="42" spans="1:10" x14ac:dyDescent="0.3">
      <c r="A42" s="26" t="s">
        <v>828</v>
      </c>
      <c r="B42" s="35" t="s">
        <v>991</v>
      </c>
      <c r="C42" s="8" t="s">
        <v>1013</v>
      </c>
      <c r="D42" s="6">
        <v>5056003735994</v>
      </c>
      <c r="E42" s="11" t="s">
        <v>1014</v>
      </c>
      <c r="F42" s="9" t="s">
        <v>1015</v>
      </c>
      <c r="G42" s="31" t="s">
        <v>92</v>
      </c>
      <c r="I42" s="2" t="str">
        <f>VLOOKUP(C42,[1]Sheet1!$C:$G,5,FALSE)</f>
        <v>POA</v>
      </c>
      <c r="J42" s="33"/>
    </row>
    <row r="43" spans="1:10" x14ac:dyDescent="0.3">
      <c r="A43" s="26" t="s">
        <v>828</v>
      </c>
      <c r="B43" s="35" t="s">
        <v>991</v>
      </c>
      <c r="C43" s="8" t="s">
        <v>1016</v>
      </c>
      <c r="D43" s="6">
        <v>5056003702514</v>
      </c>
      <c r="E43" s="9" t="s">
        <v>430</v>
      </c>
      <c r="F43" s="9" t="s">
        <v>997</v>
      </c>
      <c r="G43" s="31" t="s">
        <v>92</v>
      </c>
      <c r="I43" s="2" t="str">
        <f>VLOOKUP(C43,[1]Sheet1!$C:$G,5,FALSE)</f>
        <v>POA</v>
      </c>
      <c r="J43" s="33"/>
    </row>
    <row r="44" spans="1:10" x14ac:dyDescent="0.3">
      <c r="A44" s="26" t="s">
        <v>828</v>
      </c>
      <c r="B44" s="35" t="s">
        <v>991</v>
      </c>
      <c r="C44" s="8" t="s">
        <v>1017</v>
      </c>
      <c r="D44" s="6">
        <v>5056003702521</v>
      </c>
      <c r="E44" s="9" t="s">
        <v>1018</v>
      </c>
      <c r="F44" s="9" t="s">
        <v>994</v>
      </c>
      <c r="G44" s="31" t="s">
        <v>92</v>
      </c>
      <c r="I44" s="2" t="str">
        <f>VLOOKUP(C44,[1]Sheet1!$C:$G,5,FALSE)</f>
        <v>POA</v>
      </c>
      <c r="J44" s="33"/>
    </row>
    <row r="45" spans="1:10" x14ac:dyDescent="0.3">
      <c r="A45" s="26" t="s">
        <v>828</v>
      </c>
      <c r="B45" s="35" t="s">
        <v>991</v>
      </c>
      <c r="C45" s="8" t="s">
        <v>1019</v>
      </c>
      <c r="D45" s="6">
        <v>5056003702538</v>
      </c>
      <c r="E45" s="9" t="s">
        <v>1020</v>
      </c>
      <c r="F45" s="9" t="s">
        <v>994</v>
      </c>
      <c r="G45" s="31" t="s">
        <v>92</v>
      </c>
      <c r="I45" s="2" t="str">
        <f>VLOOKUP(C45,[1]Sheet1!$C:$G,5,FALSE)</f>
        <v>POA</v>
      </c>
      <c r="J45" s="33"/>
    </row>
    <row r="46" spans="1:10" x14ac:dyDescent="0.3">
      <c r="A46" s="26" t="s">
        <v>828</v>
      </c>
      <c r="B46" s="35" t="s">
        <v>991</v>
      </c>
      <c r="C46" s="8" t="s">
        <v>1021</v>
      </c>
      <c r="D46" s="6">
        <v>5056003707946</v>
      </c>
      <c r="E46" s="11" t="s">
        <v>1022</v>
      </c>
      <c r="F46" s="9" t="s">
        <v>1023</v>
      </c>
      <c r="G46" s="31" t="s">
        <v>92</v>
      </c>
      <c r="I46" s="2" t="str">
        <f>VLOOKUP(C46,[1]Sheet1!$C:$G,5,FALSE)</f>
        <v>POA</v>
      </c>
      <c r="J46" s="33"/>
    </row>
    <row r="47" spans="1:10" x14ac:dyDescent="0.3">
      <c r="A47" s="26" t="s">
        <v>828</v>
      </c>
      <c r="B47" s="35" t="s">
        <v>991</v>
      </c>
      <c r="C47" s="8" t="s">
        <v>1024</v>
      </c>
      <c r="D47" s="6">
        <v>5056003708165</v>
      </c>
      <c r="E47" s="11" t="s">
        <v>1022</v>
      </c>
      <c r="F47" s="9" t="s">
        <v>1025</v>
      </c>
      <c r="G47" s="31" t="s">
        <v>92</v>
      </c>
      <c r="I47" s="2" t="str">
        <f>VLOOKUP(C47,[1]Sheet1!$C:$G,5,FALSE)</f>
        <v>POA</v>
      </c>
      <c r="J47" s="33"/>
    </row>
    <row r="48" spans="1:10" x14ac:dyDescent="0.3">
      <c r="A48" s="26" t="s">
        <v>828</v>
      </c>
      <c r="B48" s="35" t="s">
        <v>991</v>
      </c>
      <c r="C48" s="8" t="s">
        <v>1026</v>
      </c>
      <c r="D48" s="6">
        <v>5056003706406</v>
      </c>
      <c r="E48" s="9" t="s">
        <v>1027</v>
      </c>
      <c r="F48" s="9" t="s">
        <v>994</v>
      </c>
      <c r="G48" s="31" t="s">
        <v>92</v>
      </c>
      <c r="I48" s="2" t="str">
        <f>VLOOKUP(C48,[1]Sheet1!$C:$G,5,FALSE)</f>
        <v>POA</v>
      </c>
      <c r="J48" s="33"/>
    </row>
    <row r="49" spans="1:10" x14ac:dyDescent="0.3">
      <c r="A49" s="26" t="s">
        <v>828</v>
      </c>
      <c r="B49" s="35" t="s">
        <v>991</v>
      </c>
      <c r="C49" s="8" t="s">
        <v>1028</v>
      </c>
      <c r="D49" s="6">
        <v>5056003702545</v>
      </c>
      <c r="E49" s="9" t="s">
        <v>1029</v>
      </c>
      <c r="F49" s="9" t="s">
        <v>997</v>
      </c>
      <c r="G49" s="31" t="s">
        <v>92</v>
      </c>
      <c r="I49" s="2" t="str">
        <f>VLOOKUP(C49,[1]Sheet1!$C:$G,5,FALSE)</f>
        <v>POA</v>
      </c>
      <c r="J49" s="33"/>
    </row>
    <row r="50" spans="1:10" x14ac:dyDescent="0.3">
      <c r="A50" s="26" t="s">
        <v>828</v>
      </c>
      <c r="B50" s="35" t="s">
        <v>991</v>
      </c>
      <c r="C50" s="8" t="s">
        <v>1030</v>
      </c>
      <c r="D50" s="6">
        <v>5056003702552</v>
      </c>
      <c r="E50" s="9" t="s">
        <v>1031</v>
      </c>
      <c r="F50" s="9" t="s">
        <v>997</v>
      </c>
      <c r="G50" s="31" t="s">
        <v>92</v>
      </c>
      <c r="I50" s="2" t="str">
        <f>VLOOKUP(C50,[1]Sheet1!$C:$G,5,FALSE)</f>
        <v>POA</v>
      </c>
      <c r="J50" s="33"/>
    </row>
    <row r="51" spans="1:10" x14ac:dyDescent="0.3">
      <c r="A51" s="26" t="s">
        <v>828</v>
      </c>
      <c r="B51" s="35" t="s">
        <v>991</v>
      </c>
      <c r="C51" s="8" t="s">
        <v>1032</v>
      </c>
      <c r="D51" s="6">
        <v>5056003702569</v>
      </c>
      <c r="E51" s="9" t="s">
        <v>1033</v>
      </c>
      <c r="F51" s="9" t="s">
        <v>997</v>
      </c>
      <c r="G51" s="31" t="s">
        <v>92</v>
      </c>
      <c r="I51" s="2" t="str">
        <f>VLOOKUP(C51,[1]Sheet1!$C:$G,5,FALSE)</f>
        <v>POA</v>
      </c>
      <c r="J51" s="33"/>
    </row>
    <row r="52" spans="1:10" x14ac:dyDescent="0.3">
      <c r="A52" s="26" t="s">
        <v>828</v>
      </c>
      <c r="B52" s="35" t="s">
        <v>991</v>
      </c>
      <c r="C52" s="8" t="s">
        <v>1034</v>
      </c>
      <c r="D52" s="6">
        <v>5056003702576</v>
      </c>
      <c r="E52" s="9" t="s">
        <v>1035</v>
      </c>
      <c r="F52" s="9" t="s">
        <v>994</v>
      </c>
      <c r="G52" s="31" t="s">
        <v>92</v>
      </c>
      <c r="I52" s="2" t="str">
        <f>VLOOKUP(C52,[1]Sheet1!$C:$G,5,FALSE)</f>
        <v>POA</v>
      </c>
      <c r="J52" s="33"/>
    </row>
    <row r="53" spans="1:10" x14ac:dyDescent="0.3">
      <c r="A53" s="26" t="s">
        <v>828</v>
      </c>
      <c r="B53" s="35" t="s">
        <v>991</v>
      </c>
      <c r="C53" s="8" t="s">
        <v>1036</v>
      </c>
      <c r="D53" s="6">
        <v>5056003702583</v>
      </c>
      <c r="E53" s="9" t="s">
        <v>1037</v>
      </c>
      <c r="F53" s="9" t="s">
        <v>994</v>
      </c>
      <c r="G53" s="31" t="s">
        <v>92</v>
      </c>
      <c r="I53" s="2" t="str">
        <f>VLOOKUP(C53,[1]Sheet1!$C:$G,5,FALSE)</f>
        <v>POA</v>
      </c>
      <c r="J53" s="33"/>
    </row>
    <row r="54" spans="1:10" x14ac:dyDescent="0.3">
      <c r="A54" s="26" t="s">
        <v>828</v>
      </c>
      <c r="B54" s="35" t="s">
        <v>991</v>
      </c>
      <c r="C54" s="8" t="s">
        <v>1038</v>
      </c>
      <c r="D54" s="6">
        <v>5056003704495</v>
      </c>
      <c r="E54" s="9" t="s">
        <v>1039</v>
      </c>
      <c r="F54" s="9" t="s">
        <v>997</v>
      </c>
      <c r="G54" s="31" t="s">
        <v>92</v>
      </c>
      <c r="I54" s="2" t="str">
        <f>VLOOKUP(C54,[1]Sheet1!$C:$G,5,FALSE)</f>
        <v>POA</v>
      </c>
      <c r="J54" s="33"/>
    </row>
    <row r="55" spans="1:10" x14ac:dyDescent="0.3">
      <c r="A55" s="26" t="s">
        <v>828</v>
      </c>
      <c r="B55" s="35" t="s">
        <v>991</v>
      </c>
      <c r="C55" s="8" t="s">
        <v>1040</v>
      </c>
      <c r="D55" s="6">
        <v>5056003704587</v>
      </c>
      <c r="E55" s="9" t="s">
        <v>1041</v>
      </c>
      <c r="F55" s="9" t="s">
        <v>997</v>
      </c>
      <c r="G55" s="31" t="s">
        <v>92</v>
      </c>
      <c r="I55" s="2" t="str">
        <f>VLOOKUP(C55,[1]Sheet1!$C:$G,5,FALSE)</f>
        <v>POA</v>
      </c>
      <c r="J55" s="33"/>
    </row>
    <row r="56" spans="1:10" x14ac:dyDescent="0.3">
      <c r="A56" s="26" t="s">
        <v>828</v>
      </c>
      <c r="B56" s="35" t="s">
        <v>991</v>
      </c>
      <c r="C56" s="8" t="s">
        <v>1042</v>
      </c>
      <c r="D56" s="6">
        <v>5056003707939</v>
      </c>
      <c r="E56" s="11" t="s">
        <v>1043</v>
      </c>
      <c r="F56" s="9" t="s">
        <v>994</v>
      </c>
      <c r="G56" s="31" t="s">
        <v>92</v>
      </c>
      <c r="I56" s="2" t="str">
        <f>VLOOKUP(C56,[1]Sheet1!$C:$G,5,FALSE)</f>
        <v>POA</v>
      </c>
      <c r="J56" s="33"/>
    </row>
    <row r="57" spans="1:10" x14ac:dyDescent="0.3">
      <c r="A57" s="26" t="s">
        <v>828</v>
      </c>
      <c r="B57" s="35" t="s">
        <v>991</v>
      </c>
      <c r="C57" s="8" t="s">
        <v>1044</v>
      </c>
      <c r="D57" s="6">
        <v>5056003732917</v>
      </c>
      <c r="E57" s="11" t="s">
        <v>1045</v>
      </c>
      <c r="F57" s="9" t="s">
        <v>997</v>
      </c>
      <c r="G57" s="31" t="s">
        <v>92</v>
      </c>
      <c r="I57" s="2" t="str">
        <f>VLOOKUP(C57,[1]Sheet1!$C:$G,5,FALSE)</f>
        <v>POA</v>
      </c>
      <c r="J57" s="33"/>
    </row>
    <row r="58" spans="1:10" x14ac:dyDescent="0.3">
      <c r="A58" s="26" t="s">
        <v>828</v>
      </c>
      <c r="B58" s="35" t="s">
        <v>991</v>
      </c>
      <c r="C58" s="8" t="s">
        <v>1046</v>
      </c>
      <c r="D58" s="6">
        <v>5056003734256</v>
      </c>
      <c r="E58" s="11" t="s">
        <v>1047</v>
      </c>
      <c r="F58" s="9" t="s">
        <v>997</v>
      </c>
      <c r="G58" s="31" t="s">
        <v>92</v>
      </c>
      <c r="I58" s="2" t="str">
        <f>VLOOKUP(C58,[1]Sheet1!$C:$G,5,FALSE)</f>
        <v>POA</v>
      </c>
      <c r="J58" s="33"/>
    </row>
    <row r="59" spans="1:10" x14ac:dyDescent="0.3">
      <c r="A59" s="26" t="s">
        <v>828</v>
      </c>
      <c r="B59" s="35" t="s">
        <v>991</v>
      </c>
      <c r="C59" s="8" t="s">
        <v>1935</v>
      </c>
      <c r="D59" s="6">
        <v>505003779813</v>
      </c>
      <c r="E59" s="9" t="s">
        <v>1936</v>
      </c>
      <c r="F59" s="9" t="s">
        <v>994</v>
      </c>
      <c r="G59" s="31" t="s">
        <v>92</v>
      </c>
      <c r="I59" s="2" t="str">
        <f>VLOOKUP(C59,[1]Sheet1!$C:$G,5,FALSE)</f>
        <v>POA</v>
      </c>
      <c r="J59" s="33"/>
    </row>
    <row r="60" spans="1:10" x14ac:dyDescent="0.3">
      <c r="A60" s="26" t="s">
        <v>828</v>
      </c>
      <c r="B60" s="35" t="s">
        <v>991</v>
      </c>
      <c r="C60" s="8" t="s">
        <v>1049</v>
      </c>
      <c r="D60" s="6">
        <v>5056003735819</v>
      </c>
      <c r="E60" s="11" t="s">
        <v>1050</v>
      </c>
      <c r="F60" s="9" t="s">
        <v>1015</v>
      </c>
      <c r="G60" s="31" t="s">
        <v>92</v>
      </c>
      <c r="I60" s="2" t="str">
        <f>VLOOKUP(C60,[1]Sheet1!$C:$G,5,FALSE)</f>
        <v>POA</v>
      </c>
      <c r="J60" s="33"/>
    </row>
    <row r="61" spans="1:10" x14ac:dyDescent="0.3">
      <c r="A61" s="26" t="s">
        <v>828</v>
      </c>
      <c r="B61" s="35" t="s">
        <v>991</v>
      </c>
      <c r="C61" s="8" t="s">
        <v>1051</v>
      </c>
      <c r="D61" s="6">
        <v>5056003735826</v>
      </c>
      <c r="E61" s="11" t="s">
        <v>1052</v>
      </c>
      <c r="F61" s="9" t="s">
        <v>1015</v>
      </c>
      <c r="G61" s="31" t="s">
        <v>92</v>
      </c>
      <c r="I61" s="2" t="str">
        <f>VLOOKUP(C61,[1]Sheet1!$C:$G,5,FALSE)</f>
        <v>POA</v>
      </c>
      <c r="J61" s="33"/>
    </row>
    <row r="62" spans="1:10" x14ac:dyDescent="0.3">
      <c r="A62" s="26" t="s">
        <v>828</v>
      </c>
      <c r="B62" s="35" t="s">
        <v>991</v>
      </c>
      <c r="C62" s="8" t="s">
        <v>1053</v>
      </c>
      <c r="D62" s="6">
        <v>5056003735833</v>
      </c>
      <c r="E62" s="11" t="s">
        <v>1054</v>
      </c>
      <c r="F62" s="9" t="s">
        <v>1015</v>
      </c>
      <c r="G62" s="31" t="s">
        <v>92</v>
      </c>
      <c r="I62" s="2" t="str">
        <f>VLOOKUP(C62,[1]Sheet1!$C:$G,5,FALSE)</f>
        <v>POA</v>
      </c>
      <c r="J62" s="33"/>
    </row>
    <row r="63" spans="1:10" x14ac:dyDescent="0.3">
      <c r="A63" s="26" t="s">
        <v>828</v>
      </c>
      <c r="B63" s="35" t="s">
        <v>991</v>
      </c>
      <c r="C63" s="8" t="s">
        <v>1055</v>
      </c>
      <c r="D63" s="6">
        <v>5056003735840</v>
      </c>
      <c r="E63" s="11" t="s">
        <v>1915</v>
      </c>
      <c r="F63" s="9" t="s">
        <v>1015</v>
      </c>
      <c r="G63" s="31" t="s">
        <v>92</v>
      </c>
      <c r="I63" s="2" t="str">
        <f>VLOOKUP(C63,[1]Sheet1!$C:$G,5,FALSE)</f>
        <v>POA</v>
      </c>
      <c r="J63" s="33"/>
    </row>
    <row r="64" spans="1:10" x14ac:dyDescent="0.3">
      <c r="A64" s="26" t="s">
        <v>828</v>
      </c>
      <c r="B64" s="35" t="s">
        <v>991</v>
      </c>
      <c r="C64" s="8" t="s">
        <v>1056</v>
      </c>
      <c r="D64" s="6">
        <v>5056003735857</v>
      </c>
      <c r="E64" s="11" t="s">
        <v>1057</v>
      </c>
      <c r="F64" s="9" t="s">
        <v>1015</v>
      </c>
      <c r="G64" s="31" t="s">
        <v>92</v>
      </c>
      <c r="I64" s="2" t="str">
        <f>VLOOKUP(C64,[1]Sheet1!$C:$G,5,FALSE)</f>
        <v>POA</v>
      </c>
      <c r="J64" s="33"/>
    </row>
    <row r="65" spans="1:10" x14ac:dyDescent="0.3">
      <c r="A65" s="26" t="s">
        <v>828</v>
      </c>
      <c r="B65" s="35" t="s">
        <v>991</v>
      </c>
      <c r="C65" s="8" t="s">
        <v>1058</v>
      </c>
      <c r="D65" s="6">
        <v>5056003735864</v>
      </c>
      <c r="E65" s="11" t="s">
        <v>1059</v>
      </c>
      <c r="F65" s="9" t="s">
        <v>1015</v>
      </c>
      <c r="G65" s="31" t="s">
        <v>92</v>
      </c>
      <c r="I65" s="2" t="str">
        <f>VLOOKUP(C65,[1]Sheet1!$C:$G,5,FALSE)</f>
        <v>POA</v>
      </c>
      <c r="J65" s="33"/>
    </row>
    <row r="66" spans="1:10" x14ac:dyDescent="0.3">
      <c r="A66" s="26" t="s">
        <v>828</v>
      </c>
      <c r="B66" s="35" t="s">
        <v>991</v>
      </c>
      <c r="C66" s="8" t="s">
        <v>1060</v>
      </c>
      <c r="D66" s="6">
        <v>5056003735871</v>
      </c>
      <c r="E66" s="11" t="s">
        <v>1061</v>
      </c>
      <c r="F66" s="9" t="s">
        <v>1015</v>
      </c>
      <c r="G66" s="31" t="s">
        <v>92</v>
      </c>
      <c r="I66" s="2" t="str">
        <f>VLOOKUP(C66,[1]Sheet1!$C:$G,5,FALSE)</f>
        <v>POA</v>
      </c>
      <c r="J66" s="33"/>
    </row>
    <row r="67" spans="1:10" x14ac:dyDescent="0.3">
      <c r="A67" s="26" t="s">
        <v>828</v>
      </c>
      <c r="B67" s="35" t="s">
        <v>991</v>
      </c>
      <c r="C67" s="8" t="s">
        <v>1062</v>
      </c>
      <c r="D67" s="6">
        <v>5056003835888</v>
      </c>
      <c r="E67" s="11" t="s">
        <v>1063</v>
      </c>
      <c r="F67" s="9" t="s">
        <v>1015</v>
      </c>
      <c r="G67" s="31" t="s">
        <v>92</v>
      </c>
      <c r="I67" s="2" t="str">
        <f>VLOOKUP(C67,[1]Sheet1!$C:$G,5,FALSE)</f>
        <v>POA</v>
      </c>
      <c r="J67" s="33"/>
    </row>
    <row r="68" spans="1:10" x14ac:dyDescent="0.3">
      <c r="A68" s="26" t="s">
        <v>828</v>
      </c>
      <c r="B68" s="35" t="s">
        <v>991</v>
      </c>
      <c r="C68" s="8" t="s">
        <v>1064</v>
      </c>
      <c r="D68" s="6">
        <v>5056003735895</v>
      </c>
      <c r="E68" s="11" t="s">
        <v>2213</v>
      </c>
      <c r="F68" s="9" t="s">
        <v>1015</v>
      </c>
      <c r="G68" s="31" t="s">
        <v>92</v>
      </c>
      <c r="I68" s="2" t="str">
        <f>VLOOKUP(C68,[1]Sheet1!$C:$G,5,FALSE)</f>
        <v>POA</v>
      </c>
      <c r="J68" s="33"/>
    </row>
    <row r="69" spans="1:10" x14ac:dyDescent="0.3">
      <c r="A69" s="26" t="s">
        <v>828</v>
      </c>
      <c r="B69" s="35" t="s">
        <v>991</v>
      </c>
      <c r="C69" s="8" t="s">
        <v>1065</v>
      </c>
      <c r="D69" s="6">
        <v>5056003835901</v>
      </c>
      <c r="E69" s="11" t="s">
        <v>1066</v>
      </c>
      <c r="F69" s="9" t="s">
        <v>1015</v>
      </c>
      <c r="G69" s="31" t="s">
        <v>92</v>
      </c>
      <c r="I69" s="2" t="str">
        <f>VLOOKUP(C69,[1]Sheet1!$C:$G,5,FALSE)</f>
        <v>POA</v>
      </c>
      <c r="J69" s="33"/>
    </row>
    <row r="70" spans="1:10" x14ac:dyDescent="0.3">
      <c r="A70" s="26" t="s">
        <v>828</v>
      </c>
      <c r="B70" s="35" t="s">
        <v>991</v>
      </c>
      <c r="C70" s="8" t="s">
        <v>1067</v>
      </c>
      <c r="D70" s="6">
        <v>5056003735918</v>
      </c>
      <c r="E70" s="11" t="s">
        <v>1068</v>
      </c>
      <c r="F70" s="9" t="s">
        <v>1015</v>
      </c>
      <c r="G70" s="31" t="s">
        <v>92</v>
      </c>
      <c r="I70" s="2" t="str">
        <f>VLOOKUP(C70,[1]Sheet1!$C:$G,5,FALSE)</f>
        <v>POA</v>
      </c>
      <c r="J70" s="33"/>
    </row>
    <row r="71" spans="1:10" x14ac:dyDescent="0.3">
      <c r="A71" s="26" t="s">
        <v>828</v>
      </c>
      <c r="B71" s="35" t="s">
        <v>991</v>
      </c>
      <c r="C71" s="8" t="s">
        <v>1069</v>
      </c>
      <c r="D71" s="6">
        <v>5056003735925</v>
      </c>
      <c r="E71" s="11" t="s">
        <v>1070</v>
      </c>
      <c r="F71" s="9" t="s">
        <v>1015</v>
      </c>
      <c r="G71" s="31" t="s">
        <v>92</v>
      </c>
      <c r="I71" s="2" t="str">
        <f>VLOOKUP(C71,[1]Sheet1!$C:$G,5,FALSE)</f>
        <v>POA</v>
      </c>
      <c r="J71" s="33"/>
    </row>
    <row r="72" spans="1:10" x14ac:dyDescent="0.3">
      <c r="A72" s="26" t="s">
        <v>828</v>
      </c>
      <c r="B72" s="35" t="s">
        <v>991</v>
      </c>
      <c r="C72" s="8" t="s">
        <v>1071</v>
      </c>
      <c r="D72" s="6">
        <v>5056003735932</v>
      </c>
      <c r="E72" s="11" t="s">
        <v>1072</v>
      </c>
      <c r="F72" s="9" t="s">
        <v>1015</v>
      </c>
      <c r="G72" s="31" t="s">
        <v>92</v>
      </c>
      <c r="I72" s="2" t="str">
        <f>VLOOKUP(C72,[1]Sheet1!$C:$G,5,FALSE)</f>
        <v>POA</v>
      </c>
      <c r="J72" s="33"/>
    </row>
    <row r="73" spans="1:10" x14ac:dyDescent="0.3">
      <c r="A73" s="26" t="s">
        <v>828</v>
      </c>
      <c r="B73" s="35" t="s">
        <v>991</v>
      </c>
      <c r="C73" s="8" t="s">
        <v>1073</v>
      </c>
      <c r="D73" s="6">
        <v>5056003735949</v>
      </c>
      <c r="E73" s="11" t="s">
        <v>1074</v>
      </c>
      <c r="F73" s="9" t="s">
        <v>1015</v>
      </c>
      <c r="G73" s="31" t="s">
        <v>92</v>
      </c>
      <c r="I73" s="2" t="str">
        <f>VLOOKUP(C73,[1]Sheet1!$C:$G,5,FALSE)</f>
        <v>POA</v>
      </c>
      <c r="J73" s="33"/>
    </row>
    <row r="74" spans="1:10" x14ac:dyDescent="0.3">
      <c r="A74" s="26" t="s">
        <v>828</v>
      </c>
      <c r="B74" s="35" t="s">
        <v>991</v>
      </c>
      <c r="C74" s="8" t="s">
        <v>1075</v>
      </c>
      <c r="D74" s="6">
        <v>5056003735956</v>
      </c>
      <c r="E74" s="11" t="s">
        <v>1076</v>
      </c>
      <c r="F74" s="9" t="s">
        <v>1015</v>
      </c>
      <c r="G74" s="31" t="s">
        <v>92</v>
      </c>
      <c r="I74" s="2" t="str">
        <f>VLOOKUP(C74,[1]Sheet1!$C:$G,5,FALSE)</f>
        <v>POA</v>
      </c>
      <c r="J74" s="33"/>
    </row>
    <row r="75" spans="1:10" x14ac:dyDescent="0.3">
      <c r="A75" s="26" t="s">
        <v>828</v>
      </c>
      <c r="B75" s="35" t="s">
        <v>991</v>
      </c>
      <c r="C75" s="8" t="s">
        <v>1077</v>
      </c>
      <c r="D75" s="6">
        <v>5056003735963</v>
      </c>
      <c r="E75" s="11" t="s">
        <v>1078</v>
      </c>
      <c r="F75" s="9" t="s">
        <v>1015</v>
      </c>
      <c r="G75" s="31" t="s">
        <v>92</v>
      </c>
      <c r="I75" s="2" t="str">
        <f>VLOOKUP(C75,[1]Sheet1!$C:$G,5,FALSE)</f>
        <v>POA</v>
      </c>
      <c r="J75" s="33"/>
    </row>
    <row r="76" spans="1:10" x14ac:dyDescent="0.3">
      <c r="A76" s="26" t="s">
        <v>828</v>
      </c>
      <c r="B76" s="35" t="s">
        <v>991</v>
      </c>
      <c r="C76" s="8" t="s">
        <v>1079</v>
      </c>
      <c r="D76" s="6">
        <v>5056003735970</v>
      </c>
      <c r="E76" s="11" t="s">
        <v>1080</v>
      </c>
      <c r="F76" s="9" t="s">
        <v>1015</v>
      </c>
      <c r="G76" s="31" t="s">
        <v>92</v>
      </c>
      <c r="I76" s="2" t="str">
        <f>VLOOKUP(C76,[1]Sheet1!$C:$G,5,FALSE)</f>
        <v>POA</v>
      </c>
      <c r="J76" s="33"/>
    </row>
    <row r="77" spans="1:10" x14ac:dyDescent="0.3">
      <c r="A77" s="26" t="s">
        <v>828</v>
      </c>
      <c r="B77" s="35" t="s">
        <v>991</v>
      </c>
      <c r="C77" s="8" t="s">
        <v>1081</v>
      </c>
      <c r="D77" s="6">
        <v>5056003735987</v>
      </c>
      <c r="E77" s="11" t="s">
        <v>1082</v>
      </c>
      <c r="F77" s="9" t="s">
        <v>1015</v>
      </c>
      <c r="G77" s="31" t="s">
        <v>92</v>
      </c>
      <c r="I77" s="2" t="str">
        <f>VLOOKUP(C77,[1]Sheet1!$C:$G,5,FALSE)</f>
        <v>POA</v>
      </c>
      <c r="J77" s="33"/>
    </row>
    <row r="78" spans="1:10" x14ac:dyDescent="0.3">
      <c r="A78" s="26" t="s">
        <v>828</v>
      </c>
      <c r="B78" s="35" t="s">
        <v>991</v>
      </c>
      <c r="C78" s="8" t="s">
        <v>2071</v>
      </c>
      <c r="D78" s="6">
        <v>5056003773842</v>
      </c>
      <c r="E78" s="11" t="s">
        <v>2332</v>
      </c>
      <c r="F78" s="9" t="s">
        <v>1015</v>
      </c>
      <c r="G78" s="31">
        <v>32.427500000000002</v>
      </c>
      <c r="I78" s="2">
        <f>VLOOKUP(C78,[1]Sheet1!$C:$G,5,FALSE)</f>
        <v>18.53</v>
      </c>
      <c r="J78" s="33">
        <f t="shared" si="1"/>
        <v>0.75</v>
      </c>
    </row>
    <row r="79" spans="1:10" x14ac:dyDescent="0.3">
      <c r="A79" s="26" t="s">
        <v>828</v>
      </c>
      <c r="B79" s="35" t="s">
        <v>991</v>
      </c>
      <c r="C79" s="8" t="s">
        <v>2072</v>
      </c>
      <c r="D79" s="6">
        <v>5056003773859</v>
      </c>
      <c r="E79" s="11" t="s">
        <v>2333</v>
      </c>
      <c r="F79" s="9" t="s">
        <v>1015</v>
      </c>
      <c r="G79" s="31">
        <v>32.427500000000002</v>
      </c>
      <c r="I79" s="2">
        <f>VLOOKUP(C79,[1]Sheet1!$C:$G,5,FALSE)</f>
        <v>18.53</v>
      </c>
      <c r="J79" s="33">
        <f t="shared" si="1"/>
        <v>0.75</v>
      </c>
    </row>
    <row r="80" spans="1:10" x14ac:dyDescent="0.3">
      <c r="A80" s="26" t="s">
        <v>828</v>
      </c>
      <c r="B80" s="35" t="s">
        <v>829</v>
      </c>
      <c r="C80" s="8" t="s">
        <v>830</v>
      </c>
      <c r="D80" s="6">
        <v>5056003700589</v>
      </c>
      <c r="E80" s="9" t="s">
        <v>831</v>
      </c>
      <c r="F80" s="9" t="s">
        <v>832</v>
      </c>
      <c r="G80" s="31">
        <v>171.6225</v>
      </c>
      <c r="I80" s="2">
        <f>VLOOKUP(C80,[1]Sheet1!$C:$G,5,FALSE)</f>
        <v>163.44999999999999</v>
      </c>
      <c r="J80" s="33">
        <f t="shared" si="1"/>
        <v>5.0000000000000086E-2</v>
      </c>
    </row>
    <row r="81" spans="1:10" ht="26" x14ac:dyDescent="0.3">
      <c r="A81" s="26" t="s">
        <v>828</v>
      </c>
      <c r="B81" s="35" t="s">
        <v>1720</v>
      </c>
      <c r="C81" s="8" t="s">
        <v>1726</v>
      </c>
      <c r="D81" s="6">
        <v>5056003702606</v>
      </c>
      <c r="E81" s="9" t="s">
        <v>1727</v>
      </c>
      <c r="F81" s="9" t="s">
        <v>1728</v>
      </c>
      <c r="G81" s="31">
        <v>25.567500000000003</v>
      </c>
      <c r="I81" s="2">
        <f>VLOOKUP(C81,[1]Sheet1!$C:$G,5,FALSE)</f>
        <v>24.35</v>
      </c>
      <c r="J81" s="33">
        <f t="shared" si="1"/>
        <v>5.0000000000000044E-2</v>
      </c>
    </row>
    <row r="82" spans="1:10" ht="26" x14ac:dyDescent="0.3">
      <c r="A82" s="26" t="s">
        <v>828</v>
      </c>
      <c r="B82" s="35" t="s">
        <v>93</v>
      </c>
      <c r="C82" s="8" t="s">
        <v>1651</v>
      </c>
      <c r="D82" s="6">
        <v>5056003700596</v>
      </c>
      <c r="E82" s="9" t="s">
        <v>1652</v>
      </c>
      <c r="F82" s="9" t="s">
        <v>1653</v>
      </c>
      <c r="G82" s="31">
        <v>8.557500000000001</v>
      </c>
      <c r="I82" s="2">
        <f>VLOOKUP(C82,[1]Sheet1!$C:$G,5,FALSE)</f>
        <v>8.15</v>
      </c>
      <c r="J82" s="33">
        <f t="shared" si="1"/>
        <v>5.0000000000000079E-2</v>
      </c>
    </row>
    <row r="83" spans="1:10" x14ac:dyDescent="0.3">
      <c r="A83" s="26" t="s">
        <v>828</v>
      </c>
      <c r="B83" s="35" t="s">
        <v>829</v>
      </c>
      <c r="C83" s="8" t="s">
        <v>833</v>
      </c>
      <c r="D83" s="6">
        <v>5056003700602</v>
      </c>
      <c r="E83" s="9" t="s">
        <v>834</v>
      </c>
      <c r="F83" s="9" t="s">
        <v>835</v>
      </c>
      <c r="G83" s="31" t="s">
        <v>92</v>
      </c>
      <c r="I83" s="2" t="str">
        <f>VLOOKUP(C83,[1]Sheet1!$C:$G,5,FALSE)</f>
        <v>POA</v>
      </c>
      <c r="J83" s="33"/>
    </row>
    <row r="84" spans="1:10" x14ac:dyDescent="0.3">
      <c r="A84" s="26" t="s">
        <v>828</v>
      </c>
      <c r="B84" s="35" t="s">
        <v>829</v>
      </c>
      <c r="C84" s="8" t="s">
        <v>836</v>
      </c>
      <c r="D84" s="6">
        <v>5056003700619</v>
      </c>
      <c r="E84" s="9" t="s">
        <v>834</v>
      </c>
      <c r="F84" s="9" t="s">
        <v>837</v>
      </c>
      <c r="G84" s="31" t="s">
        <v>92</v>
      </c>
      <c r="I84" s="2" t="str">
        <f>VLOOKUP(C84,[1]Sheet1!$C:$G,5,FALSE)</f>
        <v>POA</v>
      </c>
      <c r="J84" s="33"/>
    </row>
    <row r="85" spans="1:10" ht="26" x14ac:dyDescent="0.3">
      <c r="A85" s="26" t="s">
        <v>828</v>
      </c>
      <c r="B85" s="35" t="s">
        <v>1744</v>
      </c>
      <c r="C85" s="8" t="s">
        <v>1745</v>
      </c>
      <c r="D85" s="6">
        <v>5056003700541</v>
      </c>
      <c r="E85" s="9" t="s">
        <v>1746</v>
      </c>
      <c r="F85" s="9" t="s">
        <v>1747</v>
      </c>
      <c r="G85" s="31">
        <v>19.330500000000001</v>
      </c>
      <c r="I85" s="2">
        <f>VLOOKUP(C85,[1]Sheet1!$C:$G,5,FALSE)</f>
        <v>18.41</v>
      </c>
      <c r="J85" s="33">
        <f t="shared" si="1"/>
        <v>5.0000000000000031E-2</v>
      </c>
    </row>
    <row r="86" spans="1:10" x14ac:dyDescent="0.3">
      <c r="A86" s="26" t="s">
        <v>828</v>
      </c>
      <c r="B86" s="35" t="s">
        <v>829</v>
      </c>
      <c r="C86" s="8" t="s">
        <v>838</v>
      </c>
      <c r="D86" s="6">
        <v>5056003700633</v>
      </c>
      <c r="E86" s="9" t="s">
        <v>839</v>
      </c>
      <c r="F86" s="9" t="s">
        <v>840</v>
      </c>
      <c r="G86" s="31" t="s">
        <v>92</v>
      </c>
      <c r="I86" s="2" t="str">
        <f>VLOOKUP(C86,[1]Sheet1!$C:$G,5,FALSE)</f>
        <v>POA</v>
      </c>
      <c r="J86" s="33"/>
    </row>
    <row r="87" spans="1:10" x14ac:dyDescent="0.3">
      <c r="A87" s="26" t="s">
        <v>828</v>
      </c>
      <c r="B87" s="35" t="s">
        <v>829</v>
      </c>
      <c r="C87" s="8" t="s">
        <v>841</v>
      </c>
      <c r="D87" s="6">
        <v>5056003700626</v>
      </c>
      <c r="E87" s="9" t="s">
        <v>834</v>
      </c>
      <c r="F87" s="9" t="s">
        <v>842</v>
      </c>
      <c r="G87" s="31" t="s">
        <v>92</v>
      </c>
      <c r="I87" s="2" t="str">
        <f>VLOOKUP(C87,[1]Sheet1!$C:$G,5,FALSE)</f>
        <v>POA</v>
      </c>
      <c r="J87" s="33"/>
    </row>
    <row r="88" spans="1:10" x14ac:dyDescent="0.3">
      <c r="A88" s="26" t="s">
        <v>828</v>
      </c>
      <c r="B88" s="35" t="s">
        <v>1744</v>
      </c>
      <c r="C88" s="8" t="s">
        <v>1748</v>
      </c>
      <c r="D88" s="6">
        <v>5056003701272</v>
      </c>
      <c r="E88" s="9" t="s">
        <v>1749</v>
      </c>
      <c r="F88" s="9" t="s">
        <v>1750</v>
      </c>
      <c r="G88" s="31">
        <v>13.618500000000001</v>
      </c>
      <c r="I88" s="2">
        <f>VLOOKUP(C88,[1]Sheet1!$C:$G,5,FALSE)</f>
        <v>12.97</v>
      </c>
      <c r="J88" s="33">
        <f t="shared" si="1"/>
        <v>5.0000000000000024E-2</v>
      </c>
    </row>
    <row r="89" spans="1:10" x14ac:dyDescent="0.3">
      <c r="A89" s="26" t="s">
        <v>828</v>
      </c>
      <c r="B89" s="35" t="s">
        <v>1744</v>
      </c>
      <c r="C89" s="8" t="s">
        <v>1751</v>
      </c>
      <c r="D89" s="6">
        <v>5056003700558</v>
      </c>
      <c r="E89" s="9" t="s">
        <v>1752</v>
      </c>
      <c r="F89" s="9" t="s">
        <v>1753</v>
      </c>
      <c r="G89" s="31">
        <v>13.618500000000001</v>
      </c>
      <c r="I89" s="2">
        <f>VLOOKUP(C89,[1]Sheet1!$C:$G,5,FALSE)</f>
        <v>12.97</v>
      </c>
      <c r="J89" s="33">
        <f t="shared" si="1"/>
        <v>5.0000000000000024E-2</v>
      </c>
    </row>
    <row r="90" spans="1:10" x14ac:dyDescent="0.3">
      <c r="A90" s="26" t="s">
        <v>828</v>
      </c>
      <c r="B90" s="35" t="s">
        <v>1744</v>
      </c>
      <c r="C90" s="8" t="s">
        <v>1754</v>
      </c>
      <c r="D90" s="6">
        <v>5056003705584</v>
      </c>
      <c r="E90" s="9" t="s">
        <v>1755</v>
      </c>
      <c r="F90" s="9" t="s">
        <v>1756</v>
      </c>
      <c r="G90" s="31">
        <v>13.618500000000001</v>
      </c>
      <c r="I90" s="2">
        <f>VLOOKUP(C90,[1]Sheet1!$C:$G,5,FALSE)</f>
        <v>12.97</v>
      </c>
      <c r="J90" s="33">
        <f t="shared" si="1"/>
        <v>5.0000000000000024E-2</v>
      </c>
    </row>
    <row r="91" spans="1:10" x14ac:dyDescent="0.3">
      <c r="A91" s="26" t="s">
        <v>828</v>
      </c>
      <c r="B91" s="35" t="s">
        <v>1720</v>
      </c>
      <c r="C91" s="8" t="s">
        <v>1729</v>
      </c>
      <c r="D91" s="6">
        <v>5056003700428</v>
      </c>
      <c r="E91" s="9" t="s">
        <v>1730</v>
      </c>
      <c r="F91" s="9" t="s">
        <v>1731</v>
      </c>
      <c r="G91" s="31">
        <v>59.293500000000002</v>
      </c>
      <c r="I91" s="2">
        <f>VLOOKUP(C91,[1]Sheet1!$C:$G,5,FALSE)</f>
        <v>56.47</v>
      </c>
      <c r="J91" s="33">
        <f t="shared" si="1"/>
        <v>5.0000000000000051E-2</v>
      </c>
    </row>
    <row r="92" spans="1:10" x14ac:dyDescent="0.3">
      <c r="A92" s="26" t="s">
        <v>828</v>
      </c>
      <c r="B92" s="35" t="s">
        <v>1461</v>
      </c>
      <c r="C92" s="8" t="s">
        <v>1462</v>
      </c>
      <c r="D92" s="6">
        <v>5056003700688</v>
      </c>
      <c r="E92" s="9" t="s">
        <v>1463</v>
      </c>
      <c r="F92" s="9" t="s">
        <v>1464</v>
      </c>
      <c r="G92" s="31">
        <v>11.182500000000001</v>
      </c>
      <c r="I92" s="2">
        <f>VLOOKUP(C92,[1]Sheet1!$C:$G,5,FALSE)</f>
        <v>10.65</v>
      </c>
      <c r="J92" s="33">
        <f t="shared" si="1"/>
        <v>5.0000000000000058E-2</v>
      </c>
    </row>
    <row r="93" spans="1:10" x14ac:dyDescent="0.3">
      <c r="A93" s="26" t="s">
        <v>828</v>
      </c>
      <c r="B93" s="35" t="s">
        <v>93</v>
      </c>
      <c r="C93" s="8" t="s">
        <v>1654</v>
      </c>
      <c r="D93" s="6">
        <v>5056003700695</v>
      </c>
      <c r="E93" s="9" t="s">
        <v>1655</v>
      </c>
      <c r="F93" s="9" t="s">
        <v>1656</v>
      </c>
      <c r="G93" s="31">
        <v>18.4695</v>
      </c>
      <c r="I93" s="2">
        <f>VLOOKUP(C93,[1]Sheet1!$C:$G,5,FALSE)</f>
        <v>17.59</v>
      </c>
      <c r="J93" s="33">
        <f t="shared" si="1"/>
        <v>5.000000000000001E-2</v>
      </c>
    </row>
    <row r="94" spans="1:10" x14ac:dyDescent="0.3">
      <c r="A94" s="26" t="s">
        <v>828</v>
      </c>
      <c r="B94" s="35" t="s">
        <v>829</v>
      </c>
      <c r="C94" s="8" t="s">
        <v>843</v>
      </c>
      <c r="D94" s="6">
        <v>5056003701623</v>
      </c>
      <c r="E94" s="9" t="s">
        <v>844</v>
      </c>
      <c r="F94" s="9" t="s">
        <v>845</v>
      </c>
      <c r="G94" s="31">
        <v>164.49299999999999</v>
      </c>
      <c r="I94" s="2">
        <f>VLOOKUP(C94,[1]Sheet1!$C:$G,5,FALSE)</f>
        <v>156.66</v>
      </c>
      <c r="J94" s="33">
        <f t="shared" si="1"/>
        <v>4.9999999999999989E-2</v>
      </c>
    </row>
    <row r="95" spans="1:10" x14ac:dyDescent="0.3">
      <c r="A95" s="26" t="s">
        <v>828</v>
      </c>
      <c r="B95" s="35" t="s">
        <v>829</v>
      </c>
      <c r="C95" s="8" t="s">
        <v>846</v>
      </c>
      <c r="D95" s="6">
        <v>5056003700640</v>
      </c>
      <c r="E95" s="9" t="s">
        <v>847</v>
      </c>
      <c r="F95" s="9" t="s">
        <v>848</v>
      </c>
      <c r="G95" s="31">
        <v>213.13950000000003</v>
      </c>
      <c r="I95" s="2">
        <f>VLOOKUP(C95,[1]Sheet1!$C:$G,5,FALSE)</f>
        <v>202.99</v>
      </c>
      <c r="J95" s="33">
        <f t="shared" ref="J95:J158" si="2">(G95-I95)/I95</f>
        <v>5.0000000000000086E-2</v>
      </c>
    </row>
    <row r="96" spans="1:10" x14ac:dyDescent="0.3">
      <c r="A96" s="26" t="s">
        <v>828</v>
      </c>
      <c r="B96" s="35" t="s">
        <v>1757</v>
      </c>
      <c r="C96" s="8" t="s">
        <v>1758</v>
      </c>
      <c r="D96" s="6">
        <v>5056003704860</v>
      </c>
      <c r="E96" s="9" t="s">
        <v>1759</v>
      </c>
      <c r="F96" s="9" t="s">
        <v>1760</v>
      </c>
      <c r="G96" s="31">
        <v>13.618500000000001</v>
      </c>
      <c r="I96" s="2">
        <f>VLOOKUP(C96,[1]Sheet1!$C:$G,5,FALSE)</f>
        <v>12.97</v>
      </c>
      <c r="J96" s="33">
        <f t="shared" si="2"/>
        <v>5.0000000000000024E-2</v>
      </c>
    </row>
    <row r="97" spans="1:10" x14ac:dyDescent="0.3">
      <c r="A97" s="26" t="s">
        <v>828</v>
      </c>
      <c r="B97" s="35" t="s">
        <v>93</v>
      </c>
      <c r="C97" s="25" t="s">
        <v>1657</v>
      </c>
      <c r="D97" s="6">
        <v>5056003703092</v>
      </c>
      <c r="E97" s="12" t="s">
        <v>1658</v>
      </c>
      <c r="F97" s="12" t="s">
        <v>1659</v>
      </c>
      <c r="G97" s="31">
        <v>40.088999999999999</v>
      </c>
      <c r="I97" s="2">
        <f>VLOOKUP(C97,[1]Sheet1!$C:$G,5,FALSE)</f>
        <v>38.18</v>
      </c>
      <c r="J97" s="33">
        <f t="shared" si="2"/>
        <v>4.9999999999999975E-2</v>
      </c>
    </row>
    <row r="98" spans="1:10" x14ac:dyDescent="0.3">
      <c r="A98" s="26" t="s">
        <v>828</v>
      </c>
      <c r="B98" s="35" t="s">
        <v>93</v>
      </c>
      <c r="C98" s="25" t="s">
        <v>1660</v>
      </c>
      <c r="D98" s="6">
        <v>5056003704280</v>
      </c>
      <c r="E98" s="12" t="s">
        <v>1661</v>
      </c>
      <c r="F98" s="12" t="s">
        <v>1662</v>
      </c>
      <c r="G98" s="31">
        <v>42.9345</v>
      </c>
      <c r="I98" s="2">
        <f>VLOOKUP(C98,[1]Sheet1!$C:$G,5,FALSE)</f>
        <v>40.89</v>
      </c>
      <c r="J98" s="33">
        <f t="shared" si="2"/>
        <v>4.9999999999999982E-2</v>
      </c>
    </row>
    <row r="99" spans="1:10" x14ac:dyDescent="0.3">
      <c r="A99" s="26" t="s">
        <v>828</v>
      </c>
      <c r="B99" s="35" t="s">
        <v>93</v>
      </c>
      <c r="C99" s="8" t="s">
        <v>1663</v>
      </c>
      <c r="D99" s="6">
        <v>5056003701524</v>
      </c>
      <c r="E99" s="9" t="s">
        <v>1664</v>
      </c>
      <c r="F99" s="9" t="s">
        <v>101</v>
      </c>
      <c r="G99" s="31">
        <v>39.06</v>
      </c>
      <c r="I99" s="2">
        <f>VLOOKUP(C99,[1]Sheet1!$C:$G,5,FALSE)</f>
        <v>37.200000000000003</v>
      </c>
      <c r="J99" s="33">
        <f t="shared" si="2"/>
        <v>4.9999999999999982E-2</v>
      </c>
    </row>
    <row r="100" spans="1:10" x14ac:dyDescent="0.3">
      <c r="A100" s="26" t="s">
        <v>828</v>
      </c>
      <c r="B100" s="35" t="s">
        <v>1840</v>
      </c>
      <c r="C100" s="8" t="s">
        <v>1849</v>
      </c>
      <c r="D100" s="6">
        <v>5056003772142</v>
      </c>
      <c r="E100" s="9" t="s">
        <v>1850</v>
      </c>
      <c r="F100" s="9" t="s">
        <v>1851</v>
      </c>
      <c r="G100" s="31">
        <v>119.8288</v>
      </c>
      <c r="I100" s="2">
        <f>VLOOKUP(C100,[1]Sheet1!$C:$G,5,FALSE)</f>
        <v>106.99</v>
      </c>
      <c r="J100" s="33">
        <f t="shared" si="2"/>
        <v>0.12000000000000006</v>
      </c>
    </row>
    <row r="101" spans="1:10" x14ac:dyDescent="0.3">
      <c r="A101" s="26" t="s">
        <v>828</v>
      </c>
      <c r="B101" s="35" t="s">
        <v>93</v>
      </c>
      <c r="C101" s="8" t="s">
        <v>1665</v>
      </c>
      <c r="D101" s="6">
        <v>5056003700497</v>
      </c>
      <c r="E101" s="9" t="s">
        <v>1666</v>
      </c>
      <c r="F101" s="9" t="s">
        <v>1667</v>
      </c>
      <c r="G101" s="31">
        <v>36.466499999999996</v>
      </c>
      <c r="I101" s="2">
        <f>VLOOKUP(C101,[1]Sheet1!$C:$G,5,FALSE)</f>
        <v>34.729999999999997</v>
      </c>
      <c r="J101" s="33">
        <f t="shared" si="2"/>
        <v>4.9999999999999989E-2</v>
      </c>
    </row>
    <row r="102" spans="1:10" x14ac:dyDescent="0.3">
      <c r="A102" s="26" t="s">
        <v>828</v>
      </c>
      <c r="B102" s="35" t="s">
        <v>93</v>
      </c>
      <c r="C102" s="8" t="s">
        <v>1668</v>
      </c>
      <c r="D102" s="6">
        <v>5056003720662</v>
      </c>
      <c r="E102" s="9" t="s">
        <v>1669</v>
      </c>
      <c r="F102" s="9" t="s">
        <v>1670</v>
      </c>
      <c r="G102" s="31">
        <v>5.7120000000000006</v>
      </c>
      <c r="I102" s="2">
        <f>VLOOKUP(C102,[1]Sheet1!$C:$G,5,FALSE)</f>
        <v>5.44</v>
      </c>
      <c r="J102" s="33">
        <f t="shared" si="2"/>
        <v>5.0000000000000037E-2</v>
      </c>
    </row>
    <row r="103" spans="1:10" x14ac:dyDescent="0.3">
      <c r="A103" s="26" t="s">
        <v>828</v>
      </c>
      <c r="B103" s="35" t="s">
        <v>93</v>
      </c>
      <c r="C103" s="8" t="s">
        <v>1671</v>
      </c>
      <c r="D103" s="6">
        <v>5056003720679</v>
      </c>
      <c r="E103" s="9" t="s">
        <v>1669</v>
      </c>
      <c r="F103" s="9" t="s">
        <v>1672</v>
      </c>
      <c r="G103" s="31">
        <v>7.1505000000000001</v>
      </c>
      <c r="I103" s="2">
        <f>VLOOKUP(C103,[1]Sheet1!$C:$G,5,FALSE)</f>
        <v>6.81</v>
      </c>
      <c r="J103" s="33">
        <f t="shared" si="2"/>
        <v>5.0000000000000072E-2</v>
      </c>
    </row>
    <row r="104" spans="1:10" x14ac:dyDescent="0.3">
      <c r="A104" s="26" t="s">
        <v>828</v>
      </c>
      <c r="B104" s="35" t="s">
        <v>93</v>
      </c>
      <c r="C104" s="8" t="s">
        <v>1673</v>
      </c>
      <c r="D104" s="6">
        <v>5056003720686</v>
      </c>
      <c r="E104" s="9" t="s">
        <v>1674</v>
      </c>
      <c r="F104" s="9" t="s">
        <v>1670</v>
      </c>
      <c r="G104" s="31">
        <v>7.7805000000000009</v>
      </c>
      <c r="I104" s="2">
        <f>VLOOKUP(C104,[1]Sheet1!$C:$G,5,FALSE)</f>
        <v>7.41</v>
      </c>
      <c r="J104" s="33">
        <f t="shared" si="2"/>
        <v>5.0000000000000093E-2</v>
      </c>
    </row>
    <row r="105" spans="1:10" x14ac:dyDescent="0.3">
      <c r="A105" s="26" t="s">
        <v>828</v>
      </c>
      <c r="B105" s="35" t="s">
        <v>93</v>
      </c>
      <c r="C105" s="8" t="s">
        <v>1675</v>
      </c>
      <c r="D105" s="6">
        <v>5056003720693</v>
      </c>
      <c r="E105" s="9" t="s">
        <v>1674</v>
      </c>
      <c r="F105" s="9" t="s">
        <v>1672</v>
      </c>
      <c r="G105" s="31" t="s">
        <v>92</v>
      </c>
      <c r="I105" s="2" t="str">
        <f>VLOOKUP(C105,[1]Sheet1!$C:$G,5,FALSE)</f>
        <v>POA</v>
      </c>
      <c r="J105" s="33"/>
    </row>
    <row r="106" spans="1:10" x14ac:dyDescent="0.3">
      <c r="A106" s="26" t="s">
        <v>828</v>
      </c>
      <c r="B106" s="35" t="s">
        <v>1840</v>
      </c>
      <c r="C106" s="8" t="s">
        <v>1841</v>
      </c>
      <c r="D106" s="6">
        <v>5056003701531</v>
      </c>
      <c r="E106" s="9" t="s">
        <v>1842</v>
      </c>
      <c r="F106" s="9" t="s">
        <v>1843</v>
      </c>
      <c r="G106" s="31">
        <v>57.078000000000003</v>
      </c>
      <c r="I106" s="2">
        <f>VLOOKUP(C106,[1]Sheet1!$C:$G,5,FALSE)</f>
        <v>54.36</v>
      </c>
      <c r="J106" s="33">
        <f t="shared" si="2"/>
        <v>5.0000000000000065E-2</v>
      </c>
    </row>
    <row r="107" spans="1:10" x14ac:dyDescent="0.3">
      <c r="A107" s="26" t="s">
        <v>828</v>
      </c>
      <c r="B107" s="35" t="s">
        <v>1840</v>
      </c>
      <c r="C107" s="8" t="s">
        <v>1844</v>
      </c>
      <c r="D107" s="6">
        <v>5056003720709</v>
      </c>
      <c r="E107" s="9" t="s">
        <v>1845</v>
      </c>
      <c r="F107" s="9" t="s">
        <v>1843</v>
      </c>
      <c r="G107" s="31">
        <v>66.160499999999999</v>
      </c>
      <c r="I107" s="2">
        <f>VLOOKUP(C107,[1]Sheet1!$C:$G,5,FALSE)</f>
        <v>63.01</v>
      </c>
      <c r="J107" s="33">
        <f t="shared" si="2"/>
        <v>5.0000000000000017E-2</v>
      </c>
    </row>
    <row r="108" spans="1:10" x14ac:dyDescent="0.3">
      <c r="A108" s="26" t="s">
        <v>828</v>
      </c>
      <c r="B108" s="35" t="s">
        <v>93</v>
      </c>
      <c r="C108" s="8" t="s">
        <v>1676</v>
      </c>
      <c r="D108" s="6">
        <v>5056003720716</v>
      </c>
      <c r="E108" s="9" t="s">
        <v>1669</v>
      </c>
      <c r="F108" s="9" t="s">
        <v>1677</v>
      </c>
      <c r="G108" s="31">
        <v>4.9035000000000002</v>
      </c>
      <c r="I108" s="2">
        <f>VLOOKUP(C108,[1]Sheet1!$C:$G,5,FALSE)</f>
        <v>4.67</v>
      </c>
      <c r="J108" s="33">
        <f t="shared" si="2"/>
        <v>5.0000000000000058E-2</v>
      </c>
    </row>
    <row r="109" spans="1:10" x14ac:dyDescent="0.3">
      <c r="A109" s="26" t="s">
        <v>828</v>
      </c>
      <c r="B109" s="35" t="s">
        <v>93</v>
      </c>
      <c r="C109" s="8" t="s">
        <v>1678</v>
      </c>
      <c r="D109" s="6">
        <v>5056003720723</v>
      </c>
      <c r="E109" s="9" t="s">
        <v>1674</v>
      </c>
      <c r="F109" s="9" t="s">
        <v>1677</v>
      </c>
      <c r="G109" s="31">
        <v>5.1450000000000005</v>
      </c>
      <c r="I109" s="2">
        <f>VLOOKUP(C109,[1]Sheet1!$C:$G,5,FALSE)</f>
        <v>4.9000000000000004</v>
      </c>
      <c r="J109" s="33">
        <f t="shared" si="2"/>
        <v>5.0000000000000017E-2</v>
      </c>
    </row>
    <row r="110" spans="1:10" x14ac:dyDescent="0.3">
      <c r="A110" s="26" t="s">
        <v>828</v>
      </c>
      <c r="B110" s="35" t="s">
        <v>93</v>
      </c>
      <c r="C110" s="8" t="s">
        <v>1679</v>
      </c>
      <c r="D110" s="6">
        <v>5056003720730</v>
      </c>
      <c r="E110" s="9" t="s">
        <v>1669</v>
      </c>
      <c r="F110" s="9" t="s">
        <v>1680</v>
      </c>
      <c r="G110" s="31">
        <v>6.3629999999999995</v>
      </c>
      <c r="I110" s="2">
        <f>VLOOKUP(C110,[1]Sheet1!$C:$G,5,FALSE)</f>
        <v>6.06</v>
      </c>
      <c r="J110" s="33">
        <f t="shared" si="2"/>
        <v>4.9999999999999996E-2</v>
      </c>
    </row>
    <row r="111" spans="1:10" x14ac:dyDescent="0.3">
      <c r="A111" s="26" t="s">
        <v>828</v>
      </c>
      <c r="B111" s="35" t="s">
        <v>93</v>
      </c>
      <c r="C111" s="8" t="s">
        <v>1681</v>
      </c>
      <c r="D111" s="6">
        <v>5056003720747</v>
      </c>
      <c r="E111" s="9" t="s">
        <v>1674</v>
      </c>
      <c r="F111" s="9" t="s">
        <v>1680</v>
      </c>
      <c r="G111" s="31">
        <v>7.7805000000000009</v>
      </c>
      <c r="I111" s="2">
        <f>VLOOKUP(C111,[1]Sheet1!$C:$G,5,FALSE)</f>
        <v>7.41</v>
      </c>
      <c r="J111" s="33">
        <f t="shared" si="2"/>
        <v>5.0000000000000093E-2</v>
      </c>
    </row>
    <row r="112" spans="1:10" x14ac:dyDescent="0.3">
      <c r="A112" s="26" t="s">
        <v>828</v>
      </c>
      <c r="B112" s="35" t="s">
        <v>1840</v>
      </c>
      <c r="C112" s="8" t="s">
        <v>1846</v>
      </c>
      <c r="D112" s="6">
        <v>5056003701296</v>
      </c>
      <c r="E112" s="9" t="s">
        <v>1847</v>
      </c>
      <c r="F112" s="9" t="s">
        <v>1848</v>
      </c>
      <c r="G112" s="31">
        <v>66.5595</v>
      </c>
      <c r="I112" s="2">
        <f>VLOOKUP(C112,[1]Sheet1!$C:$G,5,FALSE)</f>
        <v>63.39</v>
      </c>
      <c r="J112" s="33">
        <f t="shared" si="2"/>
        <v>4.9999999999999989E-2</v>
      </c>
    </row>
    <row r="113" spans="1:10" x14ac:dyDescent="0.3">
      <c r="A113" s="26" t="s">
        <v>828</v>
      </c>
      <c r="B113" s="35" t="s">
        <v>93</v>
      </c>
      <c r="C113" s="25" t="s">
        <v>1682</v>
      </c>
      <c r="D113" s="6">
        <v>5056003722734</v>
      </c>
      <c r="E113" s="12" t="s">
        <v>1683</v>
      </c>
      <c r="F113" s="12" t="s">
        <v>1684</v>
      </c>
      <c r="G113" s="31">
        <v>35.805</v>
      </c>
      <c r="I113" s="2">
        <f>VLOOKUP(C113,[1]Sheet1!$C:$G,5,FALSE)</f>
        <v>34.1</v>
      </c>
      <c r="J113" s="33">
        <f t="shared" si="2"/>
        <v>4.9999999999999947E-2</v>
      </c>
    </row>
    <row r="114" spans="1:10" x14ac:dyDescent="0.3">
      <c r="A114" s="26" t="s">
        <v>828</v>
      </c>
      <c r="B114" s="35" t="s">
        <v>93</v>
      </c>
      <c r="C114" s="8" t="s">
        <v>1685</v>
      </c>
      <c r="D114" s="6">
        <v>5056003703023</v>
      </c>
      <c r="E114" s="9" t="s">
        <v>1686</v>
      </c>
      <c r="F114" s="9" t="s">
        <v>1687</v>
      </c>
      <c r="G114" s="31">
        <v>6.7515000000000001</v>
      </c>
      <c r="I114" s="2">
        <f>VLOOKUP(C114,[1]Sheet1!$C:$G,5,FALSE)</f>
        <v>6.43</v>
      </c>
      <c r="J114" s="33">
        <f t="shared" si="2"/>
        <v>5.0000000000000058E-2</v>
      </c>
    </row>
    <row r="115" spans="1:10" x14ac:dyDescent="0.3">
      <c r="A115" s="26" t="s">
        <v>828</v>
      </c>
      <c r="B115" s="35" t="s">
        <v>93</v>
      </c>
      <c r="C115" s="8" t="s">
        <v>1688</v>
      </c>
      <c r="D115" s="6">
        <v>5056003707199</v>
      </c>
      <c r="E115" s="9" t="s">
        <v>1686</v>
      </c>
      <c r="F115" s="9" t="s">
        <v>1689</v>
      </c>
      <c r="G115" s="31">
        <v>9.775500000000001</v>
      </c>
      <c r="I115" s="2">
        <f>VLOOKUP(C115,[1]Sheet1!$C:$G,5,FALSE)</f>
        <v>9.31</v>
      </c>
      <c r="J115" s="33">
        <f t="shared" si="2"/>
        <v>5.0000000000000044E-2</v>
      </c>
    </row>
    <row r="116" spans="1:10" x14ac:dyDescent="0.3">
      <c r="A116" s="26" t="s">
        <v>828</v>
      </c>
      <c r="B116" s="35" t="s">
        <v>93</v>
      </c>
      <c r="C116" s="8" t="s">
        <v>1690</v>
      </c>
      <c r="D116" s="6">
        <v>5056003707205</v>
      </c>
      <c r="E116" s="9" t="s">
        <v>1686</v>
      </c>
      <c r="F116" s="9" t="s">
        <v>1691</v>
      </c>
      <c r="G116" s="31">
        <v>9.775500000000001</v>
      </c>
      <c r="I116" s="2">
        <f>VLOOKUP(C116,[1]Sheet1!$C:$G,5,FALSE)</f>
        <v>9.31</v>
      </c>
      <c r="J116" s="33">
        <f t="shared" si="2"/>
        <v>5.0000000000000044E-2</v>
      </c>
    </row>
    <row r="117" spans="1:10" x14ac:dyDescent="0.3">
      <c r="A117" s="23" t="s">
        <v>771</v>
      </c>
      <c r="B117" s="35" t="s">
        <v>772</v>
      </c>
      <c r="C117" s="8" t="s">
        <v>773</v>
      </c>
      <c r="D117" s="6">
        <v>5056003707069</v>
      </c>
      <c r="E117" s="9" t="s">
        <v>774</v>
      </c>
      <c r="F117" s="9" t="s">
        <v>775</v>
      </c>
      <c r="G117" s="31">
        <v>117</v>
      </c>
      <c r="I117" s="2">
        <f>VLOOKUP(C117,[1]Sheet1!$C:$G,5,FALSE)</f>
        <v>78</v>
      </c>
      <c r="J117" s="33">
        <f t="shared" si="2"/>
        <v>0.5</v>
      </c>
    </row>
    <row r="118" spans="1:10" x14ac:dyDescent="0.3">
      <c r="A118" s="23" t="s">
        <v>771</v>
      </c>
      <c r="B118" s="35" t="s">
        <v>772</v>
      </c>
      <c r="C118" s="8" t="s">
        <v>776</v>
      </c>
      <c r="D118" s="6">
        <v>5056003705539</v>
      </c>
      <c r="E118" s="9" t="s">
        <v>777</v>
      </c>
      <c r="F118" s="9" t="s">
        <v>101</v>
      </c>
      <c r="G118" s="31">
        <v>15.756</v>
      </c>
      <c r="I118" s="2">
        <f>VLOOKUP(C118,[1]Sheet1!$C:$G,5,FALSE)</f>
        <v>13.13</v>
      </c>
      <c r="J118" s="33">
        <f t="shared" si="2"/>
        <v>0.19999999999999996</v>
      </c>
    </row>
    <row r="119" spans="1:10" x14ac:dyDescent="0.3">
      <c r="A119" s="23" t="s">
        <v>771</v>
      </c>
      <c r="B119" s="35" t="s">
        <v>772</v>
      </c>
      <c r="C119" s="35" t="s">
        <v>778</v>
      </c>
      <c r="D119" s="6">
        <v>5056003707076</v>
      </c>
      <c r="E119" s="41" t="s">
        <v>779</v>
      </c>
      <c r="F119" s="9" t="s">
        <v>775</v>
      </c>
      <c r="G119" s="31">
        <v>121.675</v>
      </c>
      <c r="I119" s="2">
        <f>VLOOKUP(C119,[1]Sheet1!$C:$G,5,FALSE)</f>
        <v>78.5</v>
      </c>
      <c r="J119" s="33">
        <f t="shared" si="2"/>
        <v>0.54999999999999993</v>
      </c>
    </row>
    <row r="120" spans="1:10" x14ac:dyDescent="0.3">
      <c r="A120" s="23" t="s">
        <v>771</v>
      </c>
      <c r="B120" s="35" t="s">
        <v>772</v>
      </c>
      <c r="C120" s="8" t="s">
        <v>780</v>
      </c>
      <c r="D120" s="6">
        <v>5056003707083</v>
      </c>
      <c r="E120" s="9" t="s">
        <v>781</v>
      </c>
      <c r="F120" s="9" t="s">
        <v>775</v>
      </c>
      <c r="G120" s="31">
        <v>278.53499999999997</v>
      </c>
      <c r="I120" s="2">
        <f>VLOOKUP(C120,[1]Sheet1!$C:$G,5,FALSE)</f>
        <v>179.7</v>
      </c>
      <c r="J120" s="33">
        <f t="shared" si="2"/>
        <v>0.54999999999999993</v>
      </c>
    </row>
    <row r="121" spans="1:10" ht="26" x14ac:dyDescent="0.3">
      <c r="A121" s="23" t="s">
        <v>771</v>
      </c>
      <c r="B121" s="35" t="s">
        <v>772</v>
      </c>
      <c r="C121" s="8" t="s">
        <v>782</v>
      </c>
      <c r="D121" s="6">
        <v>5056003704594</v>
      </c>
      <c r="E121" s="9" t="s">
        <v>783</v>
      </c>
      <c r="F121" s="9" t="s">
        <v>775</v>
      </c>
      <c r="G121" s="31">
        <v>79.090000000000018</v>
      </c>
      <c r="I121" s="2">
        <f>VLOOKUP(C121,[1]Sheet1!$C:$G,5,FALSE)</f>
        <v>71.900000000000006</v>
      </c>
      <c r="J121" s="33">
        <f t="shared" si="2"/>
        <v>0.10000000000000016</v>
      </c>
    </row>
    <row r="122" spans="1:10" ht="26" x14ac:dyDescent="0.3">
      <c r="A122" s="23" t="s">
        <v>771</v>
      </c>
      <c r="B122" s="35" t="s">
        <v>772</v>
      </c>
      <c r="C122" s="8" t="s">
        <v>784</v>
      </c>
      <c r="D122" s="6">
        <v>5056003704600</v>
      </c>
      <c r="E122" s="9" t="s">
        <v>783</v>
      </c>
      <c r="F122" s="9" t="s">
        <v>785</v>
      </c>
      <c r="G122" s="31">
        <v>96.800000000000011</v>
      </c>
      <c r="I122" s="2">
        <f>VLOOKUP(C122,[1]Sheet1!$C:$G,5,FALSE)</f>
        <v>88</v>
      </c>
      <c r="J122" s="33">
        <f t="shared" si="2"/>
        <v>0.10000000000000013</v>
      </c>
    </row>
    <row r="123" spans="1:10" x14ac:dyDescent="0.3">
      <c r="A123" s="23" t="s">
        <v>771</v>
      </c>
      <c r="B123" s="35" t="s">
        <v>772</v>
      </c>
      <c r="C123" s="8" t="s">
        <v>786</v>
      </c>
      <c r="D123" s="6">
        <v>5056003704624</v>
      </c>
      <c r="E123" s="9" t="s">
        <v>787</v>
      </c>
      <c r="F123" s="9" t="s">
        <v>785</v>
      </c>
      <c r="G123" s="31">
        <v>31.510500000000004</v>
      </c>
      <c r="I123" s="2">
        <f>VLOOKUP(C123,[1]Sheet1!$C:$G,5,FALSE)</f>
        <v>30.01</v>
      </c>
      <c r="J123" s="33">
        <f t="shared" si="2"/>
        <v>5.0000000000000079E-2</v>
      </c>
    </row>
    <row r="124" spans="1:10" ht="39" x14ac:dyDescent="0.3">
      <c r="A124" s="23" t="s">
        <v>771</v>
      </c>
      <c r="B124" s="35" t="s">
        <v>772</v>
      </c>
      <c r="C124" s="8" t="s">
        <v>788</v>
      </c>
      <c r="D124" s="6">
        <v>5056003704563</v>
      </c>
      <c r="E124" s="9" t="s">
        <v>789</v>
      </c>
      <c r="F124" s="9" t="s">
        <v>790</v>
      </c>
      <c r="G124" s="31">
        <v>46.452000000000005</v>
      </c>
      <c r="I124" s="2">
        <f>VLOOKUP(C124,[1]Sheet1!$C:$G,5,FALSE)</f>
        <v>44.24</v>
      </c>
      <c r="J124" s="33">
        <f t="shared" si="2"/>
        <v>5.0000000000000072E-2</v>
      </c>
    </row>
    <row r="125" spans="1:10" x14ac:dyDescent="0.3">
      <c r="A125" s="23" t="s">
        <v>771</v>
      </c>
      <c r="B125" s="35" t="s">
        <v>772</v>
      </c>
      <c r="C125" s="8" t="s">
        <v>791</v>
      </c>
      <c r="D125" s="6">
        <v>5056003705195</v>
      </c>
      <c r="E125" s="9" t="s">
        <v>792</v>
      </c>
      <c r="F125" s="9" t="s">
        <v>793</v>
      </c>
      <c r="G125" s="31">
        <v>7.4865000000000004</v>
      </c>
      <c r="I125" s="2">
        <f>VLOOKUP(C125,[1]Sheet1!$C:$G,5,FALSE)</f>
        <v>7.13</v>
      </c>
      <c r="J125" s="33">
        <f t="shared" si="2"/>
        <v>5.0000000000000065E-2</v>
      </c>
    </row>
    <row r="126" spans="1:10" ht="26" x14ac:dyDescent="0.3">
      <c r="A126" s="23" t="s">
        <v>771</v>
      </c>
      <c r="B126" s="35" t="s">
        <v>772</v>
      </c>
      <c r="C126" s="8" t="s">
        <v>794</v>
      </c>
      <c r="D126" s="6">
        <v>5056003705140</v>
      </c>
      <c r="E126" s="9" t="s">
        <v>795</v>
      </c>
      <c r="F126" s="9" t="s">
        <v>101</v>
      </c>
      <c r="G126" s="31">
        <v>53.97</v>
      </c>
      <c r="I126" s="2">
        <f>VLOOKUP(C126,[1]Sheet1!$C:$G,5,FALSE)</f>
        <v>51.4</v>
      </c>
      <c r="J126" s="33">
        <f t="shared" si="2"/>
        <v>5.000000000000001E-2</v>
      </c>
    </row>
    <row r="127" spans="1:10" x14ac:dyDescent="0.3">
      <c r="A127" s="23" t="s">
        <v>771</v>
      </c>
      <c r="B127" s="35" t="s">
        <v>772</v>
      </c>
      <c r="C127" s="8" t="s">
        <v>796</v>
      </c>
      <c r="D127" s="6">
        <v>5056003705157</v>
      </c>
      <c r="E127" s="9" t="s">
        <v>797</v>
      </c>
      <c r="F127" s="9" t="s">
        <v>101</v>
      </c>
      <c r="G127" s="31">
        <v>143.01</v>
      </c>
      <c r="I127" s="2">
        <f>VLOOKUP(C127,[1]Sheet1!$C:$G,5,FALSE)</f>
        <v>136.19999999999999</v>
      </c>
      <c r="J127" s="33">
        <f t="shared" si="2"/>
        <v>5.0000000000000024E-2</v>
      </c>
    </row>
    <row r="128" spans="1:10" x14ac:dyDescent="0.3">
      <c r="A128" s="23" t="s">
        <v>771</v>
      </c>
      <c r="B128" s="35" t="s">
        <v>772</v>
      </c>
      <c r="C128" s="8" t="s">
        <v>798</v>
      </c>
      <c r="D128" s="6">
        <v>5056003705560</v>
      </c>
      <c r="E128" s="9" t="s">
        <v>799</v>
      </c>
      <c r="F128" s="9" t="s">
        <v>101</v>
      </c>
      <c r="G128" s="31">
        <v>7.2030000000000003</v>
      </c>
      <c r="I128" s="2">
        <f>VLOOKUP(C128,[1]Sheet1!$C:$G,5,FALSE)</f>
        <v>6.86</v>
      </c>
      <c r="J128" s="33">
        <f t="shared" si="2"/>
        <v>4.9999999999999996E-2</v>
      </c>
    </row>
    <row r="129" spans="1:10" ht="39" x14ac:dyDescent="0.3">
      <c r="A129" s="23" t="s">
        <v>771</v>
      </c>
      <c r="B129" s="35" t="s">
        <v>772</v>
      </c>
      <c r="C129" s="8" t="s">
        <v>800</v>
      </c>
      <c r="D129" s="6">
        <v>5056003704617</v>
      </c>
      <c r="E129" s="9" t="s">
        <v>801</v>
      </c>
      <c r="F129" s="9" t="s">
        <v>802</v>
      </c>
      <c r="G129" s="31">
        <v>61.425000000000004</v>
      </c>
      <c r="I129" s="2">
        <f>VLOOKUP(C129,[1]Sheet1!$C:$G,5,FALSE)</f>
        <v>58.5</v>
      </c>
      <c r="J129" s="33">
        <f t="shared" si="2"/>
        <v>5.0000000000000072E-2</v>
      </c>
    </row>
    <row r="130" spans="1:10" x14ac:dyDescent="0.3">
      <c r="A130" s="23" t="s">
        <v>771</v>
      </c>
      <c r="B130" s="35" t="s">
        <v>772</v>
      </c>
      <c r="C130" s="8" t="s">
        <v>803</v>
      </c>
      <c r="D130" s="6">
        <v>5056003705553</v>
      </c>
      <c r="E130" s="9" t="s">
        <v>804</v>
      </c>
      <c r="F130" s="9" t="s">
        <v>101</v>
      </c>
      <c r="G130" s="31">
        <v>296.52</v>
      </c>
      <c r="I130" s="2">
        <f>VLOOKUP(C130,[1]Sheet1!$C:$G,5,FALSE)</f>
        <v>282.39999999999998</v>
      </c>
      <c r="J130" s="33">
        <f t="shared" si="2"/>
        <v>5.0000000000000024E-2</v>
      </c>
    </row>
    <row r="131" spans="1:10" x14ac:dyDescent="0.3">
      <c r="A131" s="23" t="s">
        <v>771</v>
      </c>
      <c r="B131" s="35" t="s">
        <v>772</v>
      </c>
      <c r="C131" s="8" t="s">
        <v>2226</v>
      </c>
      <c r="D131" s="6">
        <v>5056003705164</v>
      </c>
      <c r="E131" s="9" t="s">
        <v>2227</v>
      </c>
      <c r="F131" s="9" t="s">
        <v>101</v>
      </c>
      <c r="G131" s="31">
        <v>247.06500000000003</v>
      </c>
      <c r="I131" s="2">
        <f>VLOOKUP(C131,[1]Sheet1!$C:$G,5,FALSE)</f>
        <v>235.3</v>
      </c>
      <c r="J131" s="33">
        <f t="shared" si="2"/>
        <v>5.0000000000000058E-2</v>
      </c>
    </row>
    <row r="132" spans="1:10" x14ac:dyDescent="0.3">
      <c r="A132" s="23" t="s">
        <v>771</v>
      </c>
      <c r="B132" s="35" t="s">
        <v>772</v>
      </c>
      <c r="C132" s="8" t="s">
        <v>805</v>
      </c>
      <c r="D132" s="6">
        <v>5056003705201</v>
      </c>
      <c r="E132" s="9" t="s">
        <v>806</v>
      </c>
      <c r="F132" s="9" t="s">
        <v>807</v>
      </c>
      <c r="G132" s="31">
        <v>12.299999999999999</v>
      </c>
      <c r="I132" s="2">
        <f>VLOOKUP(C132,[1]Sheet1!$C:$G,5,FALSE)</f>
        <v>8.1999999999999993</v>
      </c>
      <c r="J132" s="33">
        <f t="shared" si="2"/>
        <v>0.5</v>
      </c>
    </row>
    <row r="133" spans="1:10" x14ac:dyDescent="0.3">
      <c r="A133" s="23" t="s">
        <v>771</v>
      </c>
      <c r="B133" s="35" t="s">
        <v>772</v>
      </c>
      <c r="C133" s="8" t="s">
        <v>808</v>
      </c>
      <c r="D133" s="6">
        <v>5056003707052</v>
      </c>
      <c r="E133" s="9" t="s">
        <v>809</v>
      </c>
      <c r="F133" s="9" t="s">
        <v>810</v>
      </c>
      <c r="G133" s="31">
        <v>65.887500000000003</v>
      </c>
      <c r="I133" s="2">
        <f>VLOOKUP(C133,[1]Sheet1!$C:$G,5,FALSE)</f>
        <v>62.75</v>
      </c>
      <c r="J133" s="33">
        <f t="shared" si="2"/>
        <v>5.0000000000000044E-2</v>
      </c>
    </row>
    <row r="134" spans="1:10" x14ac:dyDescent="0.3">
      <c r="A134" s="23" t="s">
        <v>771</v>
      </c>
      <c r="B134" s="35" t="s">
        <v>772</v>
      </c>
      <c r="C134" s="8" t="s">
        <v>811</v>
      </c>
      <c r="D134" s="6">
        <v>5056003707090</v>
      </c>
      <c r="E134" s="9" t="s">
        <v>812</v>
      </c>
      <c r="F134" s="9" t="s">
        <v>813</v>
      </c>
      <c r="G134" s="31">
        <v>385.20000000000005</v>
      </c>
      <c r="I134" s="2">
        <f>VLOOKUP(C134,[1]Sheet1!$C:$G,5,FALSE)</f>
        <v>256.8</v>
      </c>
      <c r="J134" s="33">
        <f t="shared" si="2"/>
        <v>0.50000000000000011</v>
      </c>
    </row>
    <row r="135" spans="1:10" x14ac:dyDescent="0.3">
      <c r="A135" s="23" t="s">
        <v>771</v>
      </c>
      <c r="B135" s="35" t="s">
        <v>772</v>
      </c>
      <c r="C135" s="8" t="s">
        <v>814</v>
      </c>
      <c r="D135" s="6">
        <v>5056003705959</v>
      </c>
      <c r="E135" s="9" t="s">
        <v>815</v>
      </c>
      <c r="F135" s="9" t="s">
        <v>101</v>
      </c>
      <c r="G135" s="31">
        <v>78.64500000000001</v>
      </c>
      <c r="I135" s="2">
        <f>VLOOKUP(C135,[1]Sheet1!$C:$G,5,FALSE)</f>
        <v>74.900000000000006</v>
      </c>
      <c r="J135" s="33">
        <f t="shared" si="2"/>
        <v>5.0000000000000058E-2</v>
      </c>
    </row>
    <row r="136" spans="1:10" x14ac:dyDescent="0.3">
      <c r="A136" s="23" t="s">
        <v>771</v>
      </c>
      <c r="B136" s="35" t="s">
        <v>772</v>
      </c>
      <c r="C136" s="8" t="s">
        <v>816</v>
      </c>
      <c r="D136" s="6">
        <v>5056003705126</v>
      </c>
      <c r="E136" s="9" t="s">
        <v>817</v>
      </c>
      <c r="F136" s="9" t="s">
        <v>818</v>
      </c>
      <c r="G136" s="31">
        <v>8.9669999999999987</v>
      </c>
      <c r="I136" s="2">
        <f>VLOOKUP(C136,[1]Sheet1!$C:$G,5,FALSE)</f>
        <v>8.5399999999999991</v>
      </c>
      <c r="J136" s="33">
        <f t="shared" si="2"/>
        <v>4.9999999999999961E-2</v>
      </c>
    </row>
    <row r="137" spans="1:10" x14ac:dyDescent="0.3">
      <c r="A137" s="23" t="s">
        <v>771</v>
      </c>
      <c r="B137" s="35" t="s">
        <v>772</v>
      </c>
      <c r="C137" s="8" t="s">
        <v>819</v>
      </c>
      <c r="D137" s="6">
        <v>5056003704570</v>
      </c>
      <c r="E137" s="9" t="s">
        <v>820</v>
      </c>
      <c r="F137" s="9" t="s">
        <v>821</v>
      </c>
      <c r="G137" s="31">
        <v>27.037500000000001</v>
      </c>
      <c r="I137" s="2">
        <f>VLOOKUP(C137,[1]Sheet1!$C:$G,5,FALSE)</f>
        <v>25.75</v>
      </c>
      <c r="J137" s="33">
        <f t="shared" si="2"/>
        <v>5.0000000000000058E-2</v>
      </c>
    </row>
    <row r="138" spans="1:10" x14ac:dyDescent="0.3">
      <c r="A138" s="26" t="s">
        <v>828</v>
      </c>
      <c r="B138" s="35" t="s">
        <v>1581</v>
      </c>
      <c r="C138" s="27" t="s">
        <v>1600</v>
      </c>
      <c r="D138" s="6" t="s">
        <v>1601</v>
      </c>
      <c r="E138" s="9" t="s">
        <v>1602</v>
      </c>
      <c r="F138" s="12"/>
      <c r="G138" s="31">
        <v>59.293500000000002</v>
      </c>
      <c r="I138" s="2">
        <f>VLOOKUP(C138,[1]Sheet1!$C:$G,5,FALSE)</f>
        <v>56.47</v>
      </c>
      <c r="J138" s="33">
        <f t="shared" si="2"/>
        <v>5.0000000000000051E-2</v>
      </c>
    </row>
    <row r="139" spans="1:10" x14ac:dyDescent="0.3">
      <c r="A139" s="26" t="s">
        <v>828</v>
      </c>
      <c r="B139" s="35" t="s">
        <v>1581</v>
      </c>
      <c r="C139" s="27" t="s">
        <v>1603</v>
      </c>
      <c r="D139" s="6" t="s">
        <v>1604</v>
      </c>
      <c r="E139" s="9" t="s">
        <v>1605</v>
      </c>
      <c r="F139" s="12"/>
      <c r="G139" s="31">
        <v>63.042000000000002</v>
      </c>
      <c r="I139" s="2">
        <f>VLOOKUP(C139,[1]Sheet1!$C:$G,5,FALSE)</f>
        <v>60.04</v>
      </c>
      <c r="J139" s="33">
        <f t="shared" si="2"/>
        <v>5.0000000000000044E-2</v>
      </c>
    </row>
    <row r="140" spans="1:10" x14ac:dyDescent="0.3">
      <c r="A140" s="26" t="s">
        <v>828</v>
      </c>
      <c r="B140" s="35" t="s">
        <v>1581</v>
      </c>
      <c r="C140" s="27" t="s">
        <v>1597</v>
      </c>
      <c r="D140" s="6" t="s">
        <v>1598</v>
      </c>
      <c r="E140" s="9" t="s">
        <v>1599</v>
      </c>
      <c r="F140" s="12"/>
      <c r="G140" s="31">
        <v>71.221500000000006</v>
      </c>
      <c r="I140" s="2">
        <f>VLOOKUP(C140,[1]Sheet1!$C:$G,5,FALSE)</f>
        <v>67.83</v>
      </c>
      <c r="J140" s="33">
        <f t="shared" si="2"/>
        <v>5.0000000000000114E-2</v>
      </c>
    </row>
    <row r="141" spans="1:10" x14ac:dyDescent="0.3">
      <c r="A141" s="26" t="s">
        <v>828</v>
      </c>
      <c r="B141" s="35" t="s">
        <v>1581</v>
      </c>
      <c r="C141" s="27" t="s">
        <v>1594</v>
      </c>
      <c r="D141" s="6" t="s">
        <v>1595</v>
      </c>
      <c r="E141" s="9" t="s">
        <v>1596</v>
      </c>
      <c r="F141" s="12"/>
      <c r="G141" s="31">
        <v>78.865499999999997</v>
      </c>
      <c r="I141" s="2">
        <f>VLOOKUP(C141,[1]Sheet1!$C:$G,5,FALSE)</f>
        <v>75.11</v>
      </c>
      <c r="J141" s="33">
        <f t="shared" si="2"/>
        <v>4.9999999999999975E-2</v>
      </c>
    </row>
    <row r="142" spans="1:10" x14ac:dyDescent="0.3">
      <c r="A142" s="26" t="s">
        <v>828</v>
      </c>
      <c r="B142" s="35" t="s">
        <v>1581</v>
      </c>
      <c r="C142" s="27" t="s">
        <v>1591</v>
      </c>
      <c r="D142" s="6" t="s">
        <v>1592</v>
      </c>
      <c r="E142" s="9" t="s">
        <v>1593</v>
      </c>
      <c r="F142" s="12"/>
      <c r="G142" s="31">
        <v>60.973500000000001</v>
      </c>
      <c r="I142" s="2">
        <f>VLOOKUP(C142,[1]Sheet1!$C:$G,5,FALSE)</f>
        <v>58.07</v>
      </c>
      <c r="J142" s="33">
        <f t="shared" si="2"/>
        <v>5.0000000000000017E-2</v>
      </c>
    </row>
    <row r="143" spans="1:10" x14ac:dyDescent="0.3">
      <c r="A143" s="26" t="s">
        <v>828</v>
      </c>
      <c r="B143" s="35" t="s">
        <v>1581</v>
      </c>
      <c r="C143" s="36" t="s">
        <v>1588</v>
      </c>
      <c r="D143" s="6" t="s">
        <v>1589</v>
      </c>
      <c r="E143" s="41" t="s">
        <v>1590</v>
      </c>
      <c r="F143" s="12"/>
      <c r="G143" s="31">
        <v>63.042000000000002</v>
      </c>
      <c r="I143" s="2">
        <f>VLOOKUP(C143,[1]Sheet1!$C:$G,5,FALSE)</f>
        <v>60.04</v>
      </c>
      <c r="J143" s="33">
        <f t="shared" si="2"/>
        <v>5.0000000000000044E-2</v>
      </c>
    </row>
    <row r="144" spans="1:10" x14ac:dyDescent="0.3">
      <c r="A144" s="26" t="s">
        <v>828</v>
      </c>
      <c r="B144" s="35" t="s">
        <v>1581</v>
      </c>
      <c r="C144" s="36" t="s">
        <v>1585</v>
      </c>
      <c r="D144" s="6" t="s">
        <v>1586</v>
      </c>
      <c r="E144" s="41" t="s">
        <v>1587</v>
      </c>
      <c r="F144" s="12"/>
      <c r="G144" s="31">
        <v>71.221500000000006</v>
      </c>
      <c r="I144" s="2">
        <f>VLOOKUP(C144,[1]Sheet1!$C:$G,5,FALSE)</f>
        <v>67.83</v>
      </c>
      <c r="J144" s="33">
        <f t="shared" si="2"/>
        <v>5.0000000000000114E-2</v>
      </c>
    </row>
    <row r="145" spans="1:10" x14ac:dyDescent="0.3">
      <c r="A145" s="26" t="s">
        <v>828</v>
      </c>
      <c r="B145" s="35" t="s">
        <v>1581</v>
      </c>
      <c r="C145" s="36" t="s">
        <v>1582</v>
      </c>
      <c r="D145" s="6" t="s">
        <v>1583</v>
      </c>
      <c r="E145" s="41" t="s">
        <v>1584</v>
      </c>
      <c r="F145" s="12"/>
      <c r="G145" s="31">
        <v>78.865499999999997</v>
      </c>
      <c r="I145" s="2">
        <f>VLOOKUP(C145,[1]Sheet1!$C:$G,5,FALSE)</f>
        <v>75.11</v>
      </c>
      <c r="J145" s="33">
        <f t="shared" si="2"/>
        <v>4.9999999999999975E-2</v>
      </c>
    </row>
    <row r="146" spans="1:10" x14ac:dyDescent="0.3">
      <c r="A146" s="26" t="s">
        <v>828</v>
      </c>
      <c r="B146" s="35" t="s">
        <v>1719</v>
      </c>
      <c r="C146" s="35" t="s">
        <v>2013</v>
      </c>
      <c r="D146" s="28">
        <v>5056003778915</v>
      </c>
      <c r="E146" s="35" t="s">
        <v>2126</v>
      </c>
      <c r="F146" s="12" t="s">
        <v>1684</v>
      </c>
      <c r="G146" s="31">
        <v>16.86</v>
      </c>
      <c r="I146" s="2">
        <f>VLOOKUP(C146,[1]Sheet1!$C:$G,5,FALSE)</f>
        <v>16.86</v>
      </c>
      <c r="J146" s="33">
        <f t="shared" si="2"/>
        <v>0</v>
      </c>
    </row>
    <row r="147" spans="1:10" x14ac:dyDescent="0.3">
      <c r="A147" s="26" t="s">
        <v>828</v>
      </c>
      <c r="B147" s="35" t="s">
        <v>1719</v>
      </c>
      <c r="C147" s="35" t="s">
        <v>2014</v>
      </c>
      <c r="D147" s="28">
        <v>5056003778502</v>
      </c>
      <c r="E147" s="35" t="s">
        <v>2127</v>
      </c>
      <c r="F147" s="12" t="s">
        <v>1684</v>
      </c>
      <c r="G147" s="31">
        <v>16.86</v>
      </c>
      <c r="I147" s="2">
        <f>VLOOKUP(C147,[1]Sheet1!$C:$G,5,FALSE)</f>
        <v>16.86</v>
      </c>
      <c r="J147" s="33">
        <f t="shared" si="2"/>
        <v>0</v>
      </c>
    </row>
    <row r="148" spans="1:10" x14ac:dyDescent="0.3">
      <c r="A148" s="26" t="s">
        <v>828</v>
      </c>
      <c r="B148" s="35" t="s">
        <v>1719</v>
      </c>
      <c r="C148" s="35" t="s">
        <v>2015</v>
      </c>
      <c r="D148" s="28">
        <v>5056003778595</v>
      </c>
      <c r="E148" s="35" t="s">
        <v>2128</v>
      </c>
      <c r="F148" s="12" t="s">
        <v>1684</v>
      </c>
      <c r="G148" s="31">
        <v>16.86</v>
      </c>
      <c r="I148" s="2">
        <f>VLOOKUP(C148,[1]Sheet1!$C:$G,5,FALSE)</f>
        <v>16.86</v>
      </c>
      <c r="J148" s="33">
        <f t="shared" si="2"/>
        <v>0</v>
      </c>
    </row>
    <row r="149" spans="1:10" x14ac:dyDescent="0.3">
      <c r="A149" s="26" t="s">
        <v>828</v>
      </c>
      <c r="B149" s="35" t="s">
        <v>1719</v>
      </c>
      <c r="C149" s="35" t="s">
        <v>2016</v>
      </c>
      <c r="D149" s="28">
        <v>5056003779431</v>
      </c>
      <c r="E149" s="35" t="s">
        <v>2129</v>
      </c>
      <c r="F149" s="12" t="s">
        <v>1684</v>
      </c>
      <c r="G149" s="31">
        <v>16.86</v>
      </c>
      <c r="I149" s="2">
        <f>VLOOKUP(C149,[1]Sheet1!$C:$G,5,FALSE)</f>
        <v>16.86</v>
      </c>
      <c r="J149" s="33">
        <f t="shared" si="2"/>
        <v>0</v>
      </c>
    </row>
    <row r="150" spans="1:10" x14ac:dyDescent="0.3">
      <c r="A150" s="26" t="s">
        <v>828</v>
      </c>
      <c r="B150" s="35" t="s">
        <v>1719</v>
      </c>
      <c r="C150" s="35" t="s">
        <v>2012</v>
      </c>
      <c r="D150" s="28">
        <v>5056003778731</v>
      </c>
      <c r="E150" s="35" t="s">
        <v>2125</v>
      </c>
      <c r="F150" s="12" t="s">
        <v>1684</v>
      </c>
      <c r="G150" s="31">
        <v>16.86</v>
      </c>
      <c r="I150" s="2">
        <f>VLOOKUP(C150,[1]Sheet1!$C:$G,5,FALSE)</f>
        <v>16.86</v>
      </c>
      <c r="J150" s="33">
        <f t="shared" si="2"/>
        <v>0</v>
      </c>
    </row>
    <row r="151" spans="1:10" x14ac:dyDescent="0.3">
      <c r="A151" s="26" t="s">
        <v>828</v>
      </c>
      <c r="B151" s="35" t="s">
        <v>1719</v>
      </c>
      <c r="C151" s="35" t="s">
        <v>2017</v>
      </c>
      <c r="D151" s="28">
        <v>5056003779134</v>
      </c>
      <c r="E151" s="35" t="s">
        <v>2130</v>
      </c>
      <c r="F151" s="12" t="s">
        <v>1684</v>
      </c>
      <c r="G151" s="31">
        <v>16.86</v>
      </c>
      <c r="I151" s="2">
        <f>VLOOKUP(C151,[1]Sheet1!$C:$G,5,FALSE)</f>
        <v>16.86</v>
      </c>
      <c r="J151" s="33">
        <f t="shared" si="2"/>
        <v>0</v>
      </c>
    </row>
    <row r="152" spans="1:10" x14ac:dyDescent="0.3">
      <c r="A152" s="26" t="s">
        <v>828</v>
      </c>
      <c r="B152" s="35" t="s">
        <v>1719</v>
      </c>
      <c r="C152" s="35" t="s">
        <v>2020</v>
      </c>
      <c r="D152" s="28">
        <v>5056003779516</v>
      </c>
      <c r="E152" s="35" t="s">
        <v>2133</v>
      </c>
      <c r="F152" s="12" t="s">
        <v>1684</v>
      </c>
      <c r="G152" s="31">
        <v>16.86</v>
      </c>
      <c r="I152" s="2">
        <f>VLOOKUP(C152,[1]Sheet1!$C:$G,5,FALSE)</f>
        <v>16.86</v>
      </c>
      <c r="J152" s="33">
        <f t="shared" si="2"/>
        <v>0</v>
      </c>
    </row>
    <row r="153" spans="1:10" x14ac:dyDescent="0.3">
      <c r="A153" s="26" t="s">
        <v>828</v>
      </c>
      <c r="B153" s="35" t="s">
        <v>1719</v>
      </c>
      <c r="C153" s="35" t="s">
        <v>2021</v>
      </c>
      <c r="D153" s="28">
        <v>5056003778922</v>
      </c>
      <c r="E153" s="35" t="s">
        <v>2134</v>
      </c>
      <c r="F153" s="12" t="s">
        <v>1684</v>
      </c>
      <c r="G153" s="31">
        <v>16.86</v>
      </c>
      <c r="I153" s="2">
        <f>VLOOKUP(C153,[1]Sheet1!$C:$G,5,FALSE)</f>
        <v>16.86</v>
      </c>
      <c r="J153" s="33">
        <f t="shared" si="2"/>
        <v>0</v>
      </c>
    </row>
    <row r="154" spans="1:10" x14ac:dyDescent="0.3">
      <c r="A154" s="26" t="s">
        <v>828</v>
      </c>
      <c r="B154" s="35" t="s">
        <v>1719</v>
      </c>
      <c r="C154" s="35" t="s">
        <v>2022</v>
      </c>
      <c r="D154" s="28">
        <v>5056003778519</v>
      </c>
      <c r="E154" s="35" t="s">
        <v>2135</v>
      </c>
      <c r="F154" s="12" t="s">
        <v>1684</v>
      </c>
      <c r="G154" s="31">
        <v>16.86</v>
      </c>
      <c r="I154" s="2">
        <f>VLOOKUP(C154,[1]Sheet1!$C:$G,5,FALSE)</f>
        <v>16.86</v>
      </c>
      <c r="J154" s="33">
        <f t="shared" si="2"/>
        <v>0</v>
      </c>
    </row>
    <row r="155" spans="1:10" x14ac:dyDescent="0.3">
      <c r="A155" s="26" t="s">
        <v>828</v>
      </c>
      <c r="B155" s="35" t="s">
        <v>1719</v>
      </c>
      <c r="C155" s="35" t="s">
        <v>2023</v>
      </c>
      <c r="D155" s="28">
        <v>5056003778601</v>
      </c>
      <c r="E155" s="35" t="s">
        <v>2136</v>
      </c>
      <c r="F155" s="12" t="s">
        <v>1684</v>
      </c>
      <c r="G155" s="31">
        <v>16.86</v>
      </c>
      <c r="I155" s="2">
        <f>VLOOKUP(C155,[1]Sheet1!$C:$G,5,FALSE)</f>
        <v>16.86</v>
      </c>
      <c r="J155" s="33">
        <f t="shared" si="2"/>
        <v>0</v>
      </c>
    </row>
    <row r="156" spans="1:10" x14ac:dyDescent="0.3">
      <c r="A156" s="26" t="s">
        <v>828</v>
      </c>
      <c r="B156" s="35" t="s">
        <v>1719</v>
      </c>
      <c r="C156" s="35" t="s">
        <v>2024</v>
      </c>
      <c r="D156" s="28">
        <v>5056003779097</v>
      </c>
      <c r="E156" s="35" t="s">
        <v>2137</v>
      </c>
      <c r="F156" s="12" t="s">
        <v>1684</v>
      </c>
      <c r="G156" s="31">
        <v>16.86</v>
      </c>
      <c r="I156" s="2">
        <f>VLOOKUP(C156,[1]Sheet1!$C:$G,5,FALSE)</f>
        <v>16.86</v>
      </c>
      <c r="J156" s="33">
        <f t="shared" si="2"/>
        <v>0</v>
      </c>
    </row>
    <row r="157" spans="1:10" x14ac:dyDescent="0.3">
      <c r="A157" s="26" t="s">
        <v>828</v>
      </c>
      <c r="B157" s="35" t="s">
        <v>1719</v>
      </c>
      <c r="C157" s="35" t="s">
        <v>2018</v>
      </c>
      <c r="D157" s="28">
        <v>5056003779578</v>
      </c>
      <c r="E157" s="35" t="s">
        <v>2131</v>
      </c>
      <c r="F157" s="12" t="s">
        <v>1684</v>
      </c>
      <c r="G157" s="31">
        <v>16.86</v>
      </c>
      <c r="I157" s="2">
        <f>VLOOKUP(C157,[1]Sheet1!$C:$G,5,FALSE)</f>
        <v>16.86</v>
      </c>
      <c r="J157" s="33">
        <f t="shared" si="2"/>
        <v>0</v>
      </c>
    </row>
    <row r="158" spans="1:10" x14ac:dyDescent="0.3">
      <c r="A158" s="26" t="s">
        <v>828</v>
      </c>
      <c r="B158" s="35" t="s">
        <v>1719</v>
      </c>
      <c r="C158" s="35" t="s">
        <v>2019</v>
      </c>
      <c r="D158" s="28">
        <v>5056003779585</v>
      </c>
      <c r="E158" s="35" t="s">
        <v>2132</v>
      </c>
      <c r="F158" s="12" t="s">
        <v>1684</v>
      </c>
      <c r="G158" s="31">
        <v>16.86</v>
      </c>
      <c r="I158" s="2">
        <f>VLOOKUP(C158,[1]Sheet1!$C:$G,5,FALSE)</f>
        <v>16.86</v>
      </c>
      <c r="J158" s="33">
        <f t="shared" si="2"/>
        <v>0</v>
      </c>
    </row>
    <row r="159" spans="1:10" x14ac:dyDescent="0.3">
      <c r="A159" s="26" t="s">
        <v>828</v>
      </c>
      <c r="B159" s="35" t="s">
        <v>1719</v>
      </c>
      <c r="C159" s="35" t="s">
        <v>2025</v>
      </c>
      <c r="D159" s="28">
        <v>5056003778618</v>
      </c>
      <c r="E159" s="35" t="s">
        <v>2138</v>
      </c>
      <c r="F159" s="12" t="s">
        <v>1684</v>
      </c>
      <c r="G159" s="31">
        <v>16.86</v>
      </c>
      <c r="I159" s="2">
        <f>VLOOKUP(C159,[1]Sheet1!$C:$G,5,FALSE)</f>
        <v>16.86</v>
      </c>
      <c r="J159" s="33">
        <f t="shared" ref="J159:J222" si="3">(G159-I159)/I159</f>
        <v>0</v>
      </c>
    </row>
    <row r="160" spans="1:10" x14ac:dyDescent="0.3">
      <c r="A160" s="26" t="s">
        <v>828</v>
      </c>
      <c r="B160" s="35" t="s">
        <v>1719</v>
      </c>
      <c r="C160" s="35" t="s">
        <v>2026</v>
      </c>
      <c r="D160" s="28">
        <v>5056003779141</v>
      </c>
      <c r="E160" s="35" t="s">
        <v>2139</v>
      </c>
      <c r="F160" s="12" t="s">
        <v>1684</v>
      </c>
      <c r="G160" s="31">
        <v>16.86</v>
      </c>
      <c r="I160" s="2">
        <f>VLOOKUP(C160,[1]Sheet1!$C:$G,5,FALSE)</f>
        <v>16.86</v>
      </c>
      <c r="J160" s="33">
        <f t="shared" si="3"/>
        <v>0</v>
      </c>
    </row>
    <row r="161" spans="1:10" x14ac:dyDescent="0.3">
      <c r="A161" s="26" t="s">
        <v>828</v>
      </c>
      <c r="B161" s="35" t="s">
        <v>1719</v>
      </c>
      <c r="C161" s="35" t="s">
        <v>2027</v>
      </c>
      <c r="D161" s="28">
        <v>5056003778793</v>
      </c>
      <c r="E161" s="35" t="s">
        <v>2140</v>
      </c>
      <c r="F161" s="12" t="s">
        <v>1684</v>
      </c>
      <c r="G161" s="31">
        <v>16.86</v>
      </c>
      <c r="I161" s="2">
        <f>VLOOKUP(C161,[1]Sheet1!$C:$G,5,FALSE)</f>
        <v>16.86</v>
      </c>
      <c r="J161" s="33">
        <f t="shared" si="3"/>
        <v>0</v>
      </c>
    </row>
    <row r="162" spans="1:10" x14ac:dyDescent="0.3">
      <c r="A162" s="26" t="s">
        <v>828</v>
      </c>
      <c r="B162" s="35" t="s">
        <v>1719</v>
      </c>
      <c r="C162" s="35" t="s">
        <v>2028</v>
      </c>
      <c r="D162" s="28">
        <v>5056003778953</v>
      </c>
      <c r="E162" s="35" t="s">
        <v>2141</v>
      </c>
      <c r="F162" s="12" t="s">
        <v>1684</v>
      </c>
      <c r="G162" s="31">
        <v>16.86</v>
      </c>
      <c r="I162" s="2">
        <f>VLOOKUP(C162,[1]Sheet1!$C:$G,5,FALSE)</f>
        <v>16.86</v>
      </c>
      <c r="J162" s="33">
        <f t="shared" si="3"/>
        <v>0</v>
      </c>
    </row>
    <row r="163" spans="1:10" x14ac:dyDescent="0.3">
      <c r="A163" s="26" t="s">
        <v>828</v>
      </c>
      <c r="B163" s="35" t="s">
        <v>1719</v>
      </c>
      <c r="C163" s="35" t="s">
        <v>2029</v>
      </c>
      <c r="D163" s="28">
        <v>5056003778625</v>
      </c>
      <c r="E163" s="35" t="s">
        <v>2142</v>
      </c>
      <c r="F163" s="12" t="s">
        <v>1684</v>
      </c>
      <c r="G163" s="31">
        <v>16.86</v>
      </c>
      <c r="I163" s="2">
        <f>VLOOKUP(C163,[1]Sheet1!$C:$G,5,FALSE)</f>
        <v>16.86</v>
      </c>
      <c r="J163" s="33">
        <f t="shared" si="3"/>
        <v>0</v>
      </c>
    </row>
    <row r="164" spans="1:10" x14ac:dyDescent="0.3">
      <c r="A164" s="26" t="s">
        <v>828</v>
      </c>
      <c r="B164" s="35" t="s">
        <v>1719</v>
      </c>
      <c r="C164" s="35" t="s">
        <v>2030</v>
      </c>
      <c r="D164" s="28">
        <v>5056003778809</v>
      </c>
      <c r="E164" s="35" t="s">
        <v>2143</v>
      </c>
      <c r="F164" s="12" t="s">
        <v>1684</v>
      </c>
      <c r="G164" s="31">
        <v>16.86</v>
      </c>
      <c r="I164" s="2">
        <f>VLOOKUP(C164,[1]Sheet1!$C:$G,5,FALSE)</f>
        <v>16.86</v>
      </c>
      <c r="J164" s="33">
        <f t="shared" si="3"/>
        <v>0</v>
      </c>
    </row>
    <row r="165" spans="1:10" x14ac:dyDescent="0.3">
      <c r="A165" s="26" t="s">
        <v>828</v>
      </c>
      <c r="B165" s="35" t="s">
        <v>1719</v>
      </c>
      <c r="C165" s="35" t="s">
        <v>2031</v>
      </c>
      <c r="D165" s="28">
        <v>5056003778960</v>
      </c>
      <c r="E165" s="35" t="s">
        <v>2144</v>
      </c>
      <c r="F165" s="12" t="s">
        <v>1684</v>
      </c>
      <c r="G165" s="31">
        <v>16.86</v>
      </c>
      <c r="I165" s="2">
        <f>VLOOKUP(C165,[1]Sheet1!$C:$G,5,FALSE)</f>
        <v>16.86</v>
      </c>
      <c r="J165" s="33">
        <f t="shared" si="3"/>
        <v>0</v>
      </c>
    </row>
    <row r="166" spans="1:10" x14ac:dyDescent="0.3">
      <c r="A166" s="26" t="s">
        <v>828</v>
      </c>
      <c r="B166" s="35" t="s">
        <v>1719</v>
      </c>
      <c r="C166" s="35" t="s">
        <v>2032</v>
      </c>
      <c r="D166" s="28">
        <v>5056003778632</v>
      </c>
      <c r="E166" s="35" t="s">
        <v>2145</v>
      </c>
      <c r="F166" s="12" t="s">
        <v>1684</v>
      </c>
      <c r="G166" s="31">
        <v>16.86</v>
      </c>
      <c r="I166" s="2">
        <f>VLOOKUP(C166,[1]Sheet1!$C:$G,5,FALSE)</f>
        <v>16.86</v>
      </c>
      <c r="J166" s="33">
        <f t="shared" si="3"/>
        <v>0</v>
      </c>
    </row>
    <row r="167" spans="1:10" x14ac:dyDescent="0.3">
      <c r="A167" s="26" t="s">
        <v>828</v>
      </c>
      <c r="B167" s="35" t="s">
        <v>1719</v>
      </c>
      <c r="C167" s="35" t="s">
        <v>2033</v>
      </c>
      <c r="D167" s="28">
        <v>5056003778816</v>
      </c>
      <c r="E167" s="35" t="s">
        <v>2146</v>
      </c>
      <c r="F167" s="12" t="s">
        <v>1684</v>
      </c>
      <c r="G167" s="31">
        <v>16.86</v>
      </c>
      <c r="I167" s="2">
        <f>VLOOKUP(C167,[1]Sheet1!$C:$G,5,FALSE)</f>
        <v>16.86</v>
      </c>
      <c r="J167" s="33">
        <f t="shared" si="3"/>
        <v>0</v>
      </c>
    </row>
    <row r="168" spans="1:10" x14ac:dyDescent="0.3">
      <c r="A168" s="26" t="s">
        <v>828</v>
      </c>
      <c r="B168" s="35" t="s">
        <v>1719</v>
      </c>
      <c r="C168" s="35" t="s">
        <v>2034</v>
      </c>
      <c r="D168" s="28">
        <v>5056003779530</v>
      </c>
      <c r="E168" s="35" t="s">
        <v>2147</v>
      </c>
      <c r="F168" s="12" t="s">
        <v>1684</v>
      </c>
      <c r="G168" s="31">
        <v>16.86</v>
      </c>
      <c r="I168" s="2">
        <f>VLOOKUP(C168,[1]Sheet1!$C:$G,5,FALSE)</f>
        <v>16.86</v>
      </c>
      <c r="J168" s="33">
        <f t="shared" si="3"/>
        <v>0</v>
      </c>
    </row>
    <row r="169" spans="1:10" x14ac:dyDescent="0.3">
      <c r="A169" s="26" t="s">
        <v>828</v>
      </c>
      <c r="B169" s="35" t="s">
        <v>1719</v>
      </c>
      <c r="C169" s="35" t="s">
        <v>2035</v>
      </c>
      <c r="D169" s="28">
        <v>5056003778649</v>
      </c>
      <c r="E169" s="35" t="s">
        <v>2148</v>
      </c>
      <c r="F169" s="12" t="s">
        <v>1684</v>
      </c>
      <c r="G169" s="31">
        <v>16.86</v>
      </c>
      <c r="I169" s="2">
        <f>VLOOKUP(C169,[1]Sheet1!$C:$G,5,FALSE)</f>
        <v>16.86</v>
      </c>
      <c r="J169" s="33">
        <f t="shared" si="3"/>
        <v>0</v>
      </c>
    </row>
    <row r="170" spans="1:10" x14ac:dyDescent="0.3">
      <c r="A170" s="26" t="s">
        <v>828</v>
      </c>
      <c r="B170" s="35" t="s">
        <v>1719</v>
      </c>
      <c r="C170" s="35" t="s">
        <v>2036</v>
      </c>
      <c r="D170" s="28">
        <v>5056003778656</v>
      </c>
      <c r="E170" s="35" t="s">
        <v>2149</v>
      </c>
      <c r="F170" s="12" t="s">
        <v>1684</v>
      </c>
      <c r="G170" s="31">
        <v>16.86</v>
      </c>
      <c r="I170" s="2">
        <f>VLOOKUP(C170,[1]Sheet1!$C:$G,5,FALSE)</f>
        <v>16.86</v>
      </c>
      <c r="J170" s="33">
        <f t="shared" si="3"/>
        <v>0</v>
      </c>
    </row>
    <row r="171" spans="1:10" x14ac:dyDescent="0.3">
      <c r="A171" s="26" t="s">
        <v>828</v>
      </c>
      <c r="B171" s="35" t="s">
        <v>1719</v>
      </c>
      <c r="C171" s="35" t="s">
        <v>2037</v>
      </c>
      <c r="D171" s="28">
        <v>5056003778823</v>
      </c>
      <c r="E171" s="35" t="s">
        <v>2150</v>
      </c>
      <c r="F171" s="12" t="s">
        <v>1684</v>
      </c>
      <c r="G171" s="31">
        <v>16.86</v>
      </c>
      <c r="I171" s="2">
        <f>VLOOKUP(C171,[1]Sheet1!$C:$G,5,FALSE)</f>
        <v>16.86</v>
      </c>
      <c r="J171" s="33">
        <f t="shared" si="3"/>
        <v>0</v>
      </c>
    </row>
    <row r="172" spans="1:10" x14ac:dyDescent="0.3">
      <c r="A172" s="26" t="s">
        <v>828</v>
      </c>
      <c r="B172" s="35" t="s">
        <v>1719</v>
      </c>
      <c r="C172" s="35" t="s">
        <v>2038</v>
      </c>
      <c r="D172" s="28">
        <v>5056003778977</v>
      </c>
      <c r="E172" s="35" t="s">
        <v>2151</v>
      </c>
      <c r="F172" s="12" t="s">
        <v>1684</v>
      </c>
      <c r="G172" s="31">
        <v>16.86</v>
      </c>
      <c r="I172" s="2">
        <f>VLOOKUP(C172,[1]Sheet1!$C:$G,5,FALSE)</f>
        <v>16.86</v>
      </c>
      <c r="J172" s="33">
        <f t="shared" si="3"/>
        <v>0</v>
      </c>
    </row>
    <row r="173" spans="1:10" x14ac:dyDescent="0.3">
      <c r="A173" s="26" t="s">
        <v>828</v>
      </c>
      <c r="B173" s="35" t="s">
        <v>1719</v>
      </c>
      <c r="C173" s="35" t="s">
        <v>2039</v>
      </c>
      <c r="D173" s="28">
        <v>5056003779523</v>
      </c>
      <c r="E173" s="35" t="s">
        <v>2152</v>
      </c>
      <c r="F173" s="12" t="s">
        <v>1684</v>
      </c>
      <c r="G173" s="31">
        <v>16.86</v>
      </c>
      <c r="I173" s="2">
        <f>VLOOKUP(C173,[1]Sheet1!$C:$G,5,FALSE)</f>
        <v>16.86</v>
      </c>
      <c r="J173" s="33">
        <f t="shared" si="3"/>
        <v>0</v>
      </c>
    </row>
    <row r="174" spans="1:10" x14ac:dyDescent="0.3">
      <c r="A174" s="26" t="s">
        <v>828</v>
      </c>
      <c r="B174" s="35" t="s">
        <v>1719</v>
      </c>
      <c r="C174" s="35" t="s">
        <v>2040</v>
      </c>
      <c r="D174" s="28">
        <v>5056003778847</v>
      </c>
      <c r="E174" s="35" t="s">
        <v>2153</v>
      </c>
      <c r="F174" s="12" t="s">
        <v>1684</v>
      </c>
      <c r="G174" s="31">
        <v>16.86</v>
      </c>
      <c r="I174" s="2">
        <f>VLOOKUP(C174,[1]Sheet1!$C:$G,5,FALSE)</f>
        <v>16.86</v>
      </c>
      <c r="J174" s="33">
        <f t="shared" si="3"/>
        <v>0</v>
      </c>
    </row>
    <row r="175" spans="1:10" x14ac:dyDescent="0.3">
      <c r="A175" s="26" t="s">
        <v>828</v>
      </c>
      <c r="B175" s="35" t="s">
        <v>1719</v>
      </c>
      <c r="C175" s="35" t="s">
        <v>2041</v>
      </c>
      <c r="D175" s="28">
        <v>5056003778410</v>
      </c>
      <c r="E175" s="35" t="s">
        <v>2154</v>
      </c>
      <c r="F175" s="12" t="s">
        <v>1684</v>
      </c>
      <c r="G175" s="31">
        <v>16.86</v>
      </c>
      <c r="I175" s="2">
        <f>VLOOKUP(C175,[1]Sheet1!$C:$G,5,FALSE)</f>
        <v>16.86</v>
      </c>
      <c r="J175" s="33">
        <f t="shared" si="3"/>
        <v>0</v>
      </c>
    </row>
    <row r="176" spans="1:10" x14ac:dyDescent="0.3">
      <c r="A176" s="26" t="s">
        <v>828</v>
      </c>
      <c r="B176" s="35" t="s">
        <v>1719</v>
      </c>
      <c r="C176" s="35" t="s">
        <v>2042</v>
      </c>
      <c r="D176" s="28">
        <v>5056003778427</v>
      </c>
      <c r="E176" s="35" t="s">
        <v>2155</v>
      </c>
      <c r="F176" s="12" t="s">
        <v>1684</v>
      </c>
      <c r="G176" s="31">
        <v>16.86</v>
      </c>
      <c r="I176" s="2">
        <f>VLOOKUP(C176,[1]Sheet1!$C:$G,5,FALSE)</f>
        <v>16.86</v>
      </c>
      <c r="J176" s="33">
        <f t="shared" si="3"/>
        <v>0</v>
      </c>
    </row>
    <row r="177" spans="1:10" x14ac:dyDescent="0.3">
      <c r="A177" s="26" t="s">
        <v>828</v>
      </c>
      <c r="B177" s="35" t="s">
        <v>1719</v>
      </c>
      <c r="C177" s="35" t="s">
        <v>2043</v>
      </c>
      <c r="D177" s="28">
        <v>5056003778991</v>
      </c>
      <c r="E177" s="35" t="s">
        <v>2156</v>
      </c>
      <c r="F177" s="12" t="s">
        <v>1684</v>
      </c>
      <c r="G177" s="31">
        <v>16.86</v>
      </c>
      <c r="I177" s="2">
        <f>VLOOKUP(C177,[1]Sheet1!$C:$G,5,FALSE)</f>
        <v>16.86</v>
      </c>
      <c r="J177" s="33">
        <f t="shared" si="3"/>
        <v>0</v>
      </c>
    </row>
    <row r="178" spans="1:10" x14ac:dyDescent="0.3">
      <c r="A178" s="26" t="s">
        <v>828</v>
      </c>
      <c r="B178" s="35" t="s">
        <v>1719</v>
      </c>
      <c r="C178" s="35" t="s">
        <v>2044</v>
      </c>
      <c r="D178" s="28">
        <v>5056003779547</v>
      </c>
      <c r="E178" s="35" t="s">
        <v>2157</v>
      </c>
      <c r="F178" s="12" t="s">
        <v>1684</v>
      </c>
      <c r="G178" s="31">
        <v>16.86</v>
      </c>
      <c r="I178" s="2">
        <f>VLOOKUP(C178,[1]Sheet1!$C:$G,5,FALSE)</f>
        <v>16.86</v>
      </c>
      <c r="J178" s="33">
        <f t="shared" si="3"/>
        <v>0</v>
      </c>
    </row>
    <row r="179" spans="1:10" x14ac:dyDescent="0.3">
      <c r="A179" s="26" t="s">
        <v>828</v>
      </c>
      <c r="B179" s="35" t="s">
        <v>1719</v>
      </c>
      <c r="C179" s="35" t="s">
        <v>2045</v>
      </c>
      <c r="D179" s="28">
        <v>5056003779486</v>
      </c>
      <c r="E179" s="35" t="s">
        <v>2158</v>
      </c>
      <c r="F179" s="12" t="s">
        <v>1684</v>
      </c>
      <c r="G179" s="31">
        <v>16.86</v>
      </c>
      <c r="I179" s="2">
        <f>VLOOKUP(C179,[1]Sheet1!$C:$G,5,FALSE)</f>
        <v>16.86</v>
      </c>
      <c r="J179" s="33">
        <f t="shared" si="3"/>
        <v>0</v>
      </c>
    </row>
    <row r="180" spans="1:10" x14ac:dyDescent="0.3">
      <c r="A180" s="26" t="s">
        <v>828</v>
      </c>
      <c r="B180" s="35" t="s">
        <v>1719</v>
      </c>
      <c r="C180" s="35" t="s">
        <v>2046</v>
      </c>
      <c r="D180" s="28">
        <v>5056003779561</v>
      </c>
      <c r="E180" s="35" t="s">
        <v>2159</v>
      </c>
      <c r="F180" s="12" t="s">
        <v>1684</v>
      </c>
      <c r="G180" s="31">
        <v>16.86</v>
      </c>
      <c r="I180" s="2">
        <f>VLOOKUP(C180,[1]Sheet1!$C:$G,5,FALSE)</f>
        <v>16.86</v>
      </c>
      <c r="J180" s="33">
        <f t="shared" si="3"/>
        <v>0</v>
      </c>
    </row>
    <row r="181" spans="1:10" x14ac:dyDescent="0.3">
      <c r="A181" s="26" t="s">
        <v>828</v>
      </c>
      <c r="B181" s="35" t="s">
        <v>1719</v>
      </c>
      <c r="C181" s="35" t="s">
        <v>2047</v>
      </c>
      <c r="D181" s="28">
        <v>5056003779554</v>
      </c>
      <c r="E181" s="35" t="s">
        <v>2160</v>
      </c>
      <c r="F181" s="12" t="s">
        <v>1684</v>
      </c>
      <c r="G181" s="31">
        <v>16.86</v>
      </c>
      <c r="I181" s="2">
        <f>VLOOKUP(C181,[1]Sheet1!$C:$G,5,FALSE)</f>
        <v>16.86</v>
      </c>
      <c r="J181" s="33">
        <f t="shared" si="3"/>
        <v>0</v>
      </c>
    </row>
    <row r="182" spans="1:10" x14ac:dyDescent="0.3">
      <c r="A182" s="26" t="s">
        <v>828</v>
      </c>
      <c r="B182" s="35" t="s">
        <v>1719</v>
      </c>
      <c r="C182" s="35" t="s">
        <v>1962</v>
      </c>
      <c r="D182" s="28">
        <v>5056003778984</v>
      </c>
      <c r="E182" s="35" t="s">
        <v>2075</v>
      </c>
      <c r="F182" s="12" t="s">
        <v>1684</v>
      </c>
      <c r="G182" s="31">
        <v>16.86</v>
      </c>
      <c r="I182" s="2">
        <f>VLOOKUP(C182,[1]Sheet1!$C:$G,5,FALSE)</f>
        <v>16.86</v>
      </c>
      <c r="J182" s="33">
        <f t="shared" si="3"/>
        <v>0</v>
      </c>
    </row>
    <row r="183" spans="1:10" x14ac:dyDescent="0.3">
      <c r="A183" s="26" t="s">
        <v>828</v>
      </c>
      <c r="B183" s="35" t="s">
        <v>1719</v>
      </c>
      <c r="C183" s="35" t="s">
        <v>1963</v>
      </c>
      <c r="D183" s="28">
        <v>5056003779493</v>
      </c>
      <c r="E183" s="35" t="s">
        <v>2076</v>
      </c>
      <c r="F183" s="12" t="s">
        <v>1684</v>
      </c>
      <c r="G183" s="31">
        <v>16.86</v>
      </c>
      <c r="I183" s="2">
        <f>VLOOKUP(C183,[1]Sheet1!$C:$G,5,FALSE)</f>
        <v>16.86</v>
      </c>
      <c r="J183" s="33">
        <f t="shared" si="3"/>
        <v>0</v>
      </c>
    </row>
    <row r="184" spans="1:10" x14ac:dyDescent="0.3">
      <c r="A184" s="26" t="s">
        <v>828</v>
      </c>
      <c r="B184" s="35" t="s">
        <v>1719</v>
      </c>
      <c r="C184" s="35" t="s">
        <v>1964</v>
      </c>
      <c r="D184" s="28">
        <v>5056003778434</v>
      </c>
      <c r="E184" s="35" t="s">
        <v>2077</v>
      </c>
      <c r="F184" s="12" t="s">
        <v>1684</v>
      </c>
      <c r="G184" s="31">
        <v>16.86</v>
      </c>
      <c r="I184" s="2">
        <f>VLOOKUP(C184,[1]Sheet1!$C:$G,5,FALSE)</f>
        <v>16.86</v>
      </c>
      <c r="J184" s="33">
        <f t="shared" si="3"/>
        <v>0</v>
      </c>
    </row>
    <row r="185" spans="1:10" x14ac:dyDescent="0.3">
      <c r="A185" s="26" t="s">
        <v>828</v>
      </c>
      <c r="B185" s="35" t="s">
        <v>1719</v>
      </c>
      <c r="C185" s="35" t="s">
        <v>1965</v>
      </c>
      <c r="D185" s="28">
        <v>5056003778526</v>
      </c>
      <c r="E185" s="35" t="s">
        <v>2078</v>
      </c>
      <c r="F185" s="12" t="s">
        <v>1684</v>
      </c>
      <c r="G185" s="31">
        <v>16.86</v>
      </c>
      <c r="I185" s="2">
        <f>VLOOKUP(C185,[1]Sheet1!$C:$G,5,FALSE)</f>
        <v>16.86</v>
      </c>
      <c r="J185" s="33">
        <f t="shared" si="3"/>
        <v>0</v>
      </c>
    </row>
    <row r="186" spans="1:10" x14ac:dyDescent="0.3">
      <c r="A186" s="26" t="s">
        <v>828</v>
      </c>
      <c r="B186" s="35" t="s">
        <v>1719</v>
      </c>
      <c r="C186" s="35" t="s">
        <v>1966</v>
      </c>
      <c r="D186" s="28">
        <v>5056003779004</v>
      </c>
      <c r="E186" s="35" t="s">
        <v>2079</v>
      </c>
      <c r="F186" s="12" t="s">
        <v>1684</v>
      </c>
      <c r="G186" s="31">
        <v>16.86</v>
      </c>
      <c r="I186" s="2">
        <f>VLOOKUP(C186,[1]Sheet1!$C:$G,5,FALSE)</f>
        <v>16.86</v>
      </c>
      <c r="J186" s="33">
        <f t="shared" si="3"/>
        <v>0</v>
      </c>
    </row>
    <row r="187" spans="1:10" x14ac:dyDescent="0.3">
      <c r="A187" s="26" t="s">
        <v>828</v>
      </c>
      <c r="B187" s="35" t="s">
        <v>1719</v>
      </c>
      <c r="C187" s="35" t="s">
        <v>1967</v>
      </c>
      <c r="D187" s="28">
        <v>5056003778663</v>
      </c>
      <c r="E187" s="35" t="s">
        <v>2080</v>
      </c>
      <c r="F187" s="12" t="s">
        <v>1684</v>
      </c>
      <c r="G187" s="31">
        <v>16.86</v>
      </c>
      <c r="I187" s="2">
        <f>VLOOKUP(C187,[1]Sheet1!$C:$G,5,FALSE)</f>
        <v>16.86</v>
      </c>
      <c r="J187" s="33">
        <f t="shared" si="3"/>
        <v>0</v>
      </c>
    </row>
    <row r="188" spans="1:10" x14ac:dyDescent="0.3">
      <c r="A188" s="26" t="s">
        <v>828</v>
      </c>
      <c r="B188" s="35" t="s">
        <v>1719</v>
      </c>
      <c r="C188" s="35" t="s">
        <v>1968</v>
      </c>
      <c r="D188" s="28">
        <v>5056003778755</v>
      </c>
      <c r="E188" s="35" t="s">
        <v>2081</v>
      </c>
      <c r="F188" s="12" t="s">
        <v>1684</v>
      </c>
      <c r="G188" s="31">
        <v>16.86</v>
      </c>
      <c r="I188" s="2">
        <f>VLOOKUP(C188,[1]Sheet1!$C:$G,5,FALSE)</f>
        <v>16.86</v>
      </c>
      <c r="J188" s="33">
        <f t="shared" si="3"/>
        <v>0</v>
      </c>
    </row>
    <row r="189" spans="1:10" x14ac:dyDescent="0.3">
      <c r="A189" s="26" t="s">
        <v>828</v>
      </c>
      <c r="B189" s="35" t="s">
        <v>1719</v>
      </c>
      <c r="C189" s="35" t="s">
        <v>1969</v>
      </c>
      <c r="D189" s="28">
        <v>5056003779424</v>
      </c>
      <c r="E189" s="35" t="s">
        <v>2082</v>
      </c>
      <c r="F189" s="12" t="s">
        <v>1684</v>
      </c>
      <c r="G189" s="31">
        <v>16.86</v>
      </c>
      <c r="I189" s="2">
        <f>VLOOKUP(C189,[1]Sheet1!$C:$G,5,FALSE)</f>
        <v>16.86</v>
      </c>
      <c r="J189" s="33">
        <f t="shared" si="3"/>
        <v>0</v>
      </c>
    </row>
    <row r="190" spans="1:10" x14ac:dyDescent="0.3">
      <c r="A190" s="26" t="s">
        <v>828</v>
      </c>
      <c r="B190" s="35" t="s">
        <v>1719</v>
      </c>
      <c r="C190" s="35" t="s">
        <v>1970</v>
      </c>
      <c r="D190" s="28">
        <v>5056003779011</v>
      </c>
      <c r="E190" s="35" t="s">
        <v>2083</v>
      </c>
      <c r="F190" s="12" t="s">
        <v>1684</v>
      </c>
      <c r="G190" s="31">
        <v>16.86</v>
      </c>
      <c r="I190" s="2">
        <f>VLOOKUP(C190,[1]Sheet1!$C:$G,5,FALSE)</f>
        <v>16.86</v>
      </c>
      <c r="J190" s="33">
        <f t="shared" si="3"/>
        <v>0</v>
      </c>
    </row>
    <row r="191" spans="1:10" x14ac:dyDescent="0.3">
      <c r="A191" s="26" t="s">
        <v>828</v>
      </c>
      <c r="B191" s="35" t="s">
        <v>1719</v>
      </c>
      <c r="C191" s="35" t="s">
        <v>1971</v>
      </c>
      <c r="D191" s="28">
        <v>5056003779509</v>
      </c>
      <c r="E191" s="35" t="s">
        <v>2084</v>
      </c>
      <c r="F191" s="12" t="s">
        <v>1684</v>
      </c>
      <c r="G191" s="31">
        <v>16.86</v>
      </c>
      <c r="I191" s="2">
        <f>VLOOKUP(C191,[1]Sheet1!$C:$G,5,FALSE)</f>
        <v>16.86</v>
      </c>
      <c r="J191" s="33">
        <f t="shared" si="3"/>
        <v>0</v>
      </c>
    </row>
    <row r="192" spans="1:10" x14ac:dyDescent="0.3">
      <c r="A192" s="26" t="s">
        <v>828</v>
      </c>
      <c r="B192" s="35" t="s">
        <v>1719</v>
      </c>
      <c r="C192" s="35" t="s">
        <v>1972</v>
      </c>
      <c r="D192" s="28">
        <v>5056003778854</v>
      </c>
      <c r="E192" s="35" t="s">
        <v>2085</v>
      </c>
      <c r="F192" s="12" t="s">
        <v>1684</v>
      </c>
      <c r="G192" s="31">
        <v>16.86</v>
      </c>
      <c r="I192" s="2">
        <f>VLOOKUP(C192,[1]Sheet1!$C:$G,5,FALSE)</f>
        <v>16.86</v>
      </c>
      <c r="J192" s="33">
        <f t="shared" si="3"/>
        <v>0</v>
      </c>
    </row>
    <row r="193" spans="1:10" x14ac:dyDescent="0.3">
      <c r="A193" s="26" t="s">
        <v>828</v>
      </c>
      <c r="B193" s="35" t="s">
        <v>1719</v>
      </c>
      <c r="C193" s="35" t="s">
        <v>1973</v>
      </c>
      <c r="D193" s="28">
        <v>5056003778441</v>
      </c>
      <c r="E193" s="35" t="s">
        <v>2086</v>
      </c>
      <c r="F193" s="12" t="s">
        <v>1684</v>
      </c>
      <c r="G193" s="31">
        <v>16.86</v>
      </c>
      <c r="I193" s="2">
        <f>VLOOKUP(C193,[1]Sheet1!$C:$G,5,FALSE)</f>
        <v>16.86</v>
      </c>
      <c r="J193" s="33">
        <f t="shared" si="3"/>
        <v>0</v>
      </c>
    </row>
    <row r="194" spans="1:10" x14ac:dyDescent="0.3">
      <c r="A194" s="26" t="s">
        <v>828</v>
      </c>
      <c r="B194" s="35" t="s">
        <v>1719</v>
      </c>
      <c r="C194" s="35" t="s">
        <v>1974</v>
      </c>
      <c r="D194" s="28">
        <v>5056003778533</v>
      </c>
      <c r="E194" s="35" t="s">
        <v>2087</v>
      </c>
      <c r="F194" s="12" t="s">
        <v>1684</v>
      </c>
      <c r="G194" s="31">
        <v>16.86</v>
      </c>
      <c r="I194" s="2">
        <f>VLOOKUP(C194,[1]Sheet1!$C:$G,5,FALSE)</f>
        <v>16.86</v>
      </c>
      <c r="J194" s="33">
        <f t="shared" si="3"/>
        <v>0</v>
      </c>
    </row>
    <row r="195" spans="1:10" x14ac:dyDescent="0.3">
      <c r="A195" s="26" t="s">
        <v>828</v>
      </c>
      <c r="B195" s="35" t="s">
        <v>1719</v>
      </c>
      <c r="C195" s="35" t="s">
        <v>1975</v>
      </c>
      <c r="D195" s="28">
        <v>5056003779028</v>
      </c>
      <c r="E195" s="35" t="s">
        <v>2088</v>
      </c>
      <c r="F195" s="12" t="s">
        <v>1684</v>
      </c>
      <c r="G195" s="31">
        <v>16.86</v>
      </c>
      <c r="I195" s="2">
        <f>VLOOKUP(C195,[1]Sheet1!$C:$G,5,FALSE)</f>
        <v>16.86</v>
      </c>
      <c r="J195" s="33">
        <f t="shared" si="3"/>
        <v>0</v>
      </c>
    </row>
    <row r="196" spans="1:10" x14ac:dyDescent="0.3">
      <c r="A196" s="26" t="s">
        <v>828</v>
      </c>
      <c r="B196" s="35" t="s">
        <v>1719</v>
      </c>
      <c r="C196" s="35" t="s">
        <v>1976</v>
      </c>
      <c r="D196" s="28">
        <v>5056003778670</v>
      </c>
      <c r="E196" s="35" t="s">
        <v>2089</v>
      </c>
      <c r="F196" s="12" t="s">
        <v>1684</v>
      </c>
      <c r="G196" s="31">
        <v>16.86</v>
      </c>
      <c r="I196" s="2">
        <f>VLOOKUP(C196,[1]Sheet1!$C:$G,5,FALSE)</f>
        <v>16.86</v>
      </c>
      <c r="J196" s="33">
        <f t="shared" si="3"/>
        <v>0</v>
      </c>
    </row>
    <row r="197" spans="1:10" x14ac:dyDescent="0.3">
      <c r="A197" s="26" t="s">
        <v>828</v>
      </c>
      <c r="B197" s="35" t="s">
        <v>1719</v>
      </c>
      <c r="C197" s="35" t="s">
        <v>1977</v>
      </c>
      <c r="D197" s="28">
        <v>5056003779103</v>
      </c>
      <c r="E197" s="35" t="s">
        <v>2090</v>
      </c>
      <c r="F197" s="12" t="s">
        <v>1684</v>
      </c>
      <c r="G197" s="31">
        <v>16.86</v>
      </c>
      <c r="I197" s="2">
        <f>VLOOKUP(C197,[1]Sheet1!$C:$G,5,FALSE)</f>
        <v>16.86</v>
      </c>
      <c r="J197" s="33">
        <f t="shared" si="3"/>
        <v>0</v>
      </c>
    </row>
    <row r="198" spans="1:10" x14ac:dyDescent="0.3">
      <c r="A198" s="26" t="s">
        <v>828</v>
      </c>
      <c r="B198" s="35" t="s">
        <v>1719</v>
      </c>
      <c r="C198" s="35" t="s">
        <v>1978</v>
      </c>
      <c r="D198" s="28">
        <v>5056003778861</v>
      </c>
      <c r="E198" s="35" t="s">
        <v>2091</v>
      </c>
      <c r="F198" s="12" t="s">
        <v>1684</v>
      </c>
      <c r="G198" s="31">
        <v>16.86</v>
      </c>
      <c r="I198" s="2">
        <f>VLOOKUP(C198,[1]Sheet1!$C:$G,5,FALSE)</f>
        <v>16.86</v>
      </c>
      <c r="J198" s="33">
        <f t="shared" si="3"/>
        <v>0</v>
      </c>
    </row>
    <row r="199" spans="1:10" x14ac:dyDescent="0.3">
      <c r="A199" s="26" t="s">
        <v>828</v>
      </c>
      <c r="B199" s="35" t="s">
        <v>1719</v>
      </c>
      <c r="C199" s="35" t="s">
        <v>1979</v>
      </c>
      <c r="D199" s="28">
        <v>5056003778458</v>
      </c>
      <c r="E199" s="35" t="s">
        <v>2092</v>
      </c>
      <c r="F199" s="19" t="s">
        <v>1684</v>
      </c>
      <c r="G199" s="31">
        <v>16.86</v>
      </c>
      <c r="I199" s="2">
        <f>VLOOKUP(C199,[1]Sheet1!$C:$G,5,FALSE)</f>
        <v>16.86</v>
      </c>
      <c r="J199" s="33">
        <f t="shared" si="3"/>
        <v>0</v>
      </c>
    </row>
    <row r="200" spans="1:10" x14ac:dyDescent="0.3">
      <c r="A200" s="26" t="s">
        <v>828</v>
      </c>
      <c r="B200" s="35" t="s">
        <v>1719</v>
      </c>
      <c r="C200" s="35" t="s">
        <v>1980</v>
      </c>
      <c r="D200" s="28">
        <v>5056003778939</v>
      </c>
      <c r="E200" s="35" t="s">
        <v>2093</v>
      </c>
      <c r="F200" s="12" t="s">
        <v>1684</v>
      </c>
      <c r="G200" s="31">
        <v>16.86</v>
      </c>
      <c r="I200" s="2">
        <f>VLOOKUP(C200,[1]Sheet1!$C:$G,5,FALSE)</f>
        <v>16.86</v>
      </c>
      <c r="J200" s="33">
        <f t="shared" si="3"/>
        <v>0</v>
      </c>
    </row>
    <row r="201" spans="1:10" x14ac:dyDescent="0.3">
      <c r="A201" s="26" t="s">
        <v>828</v>
      </c>
      <c r="B201" s="35" t="s">
        <v>1719</v>
      </c>
      <c r="C201" s="35" t="s">
        <v>1981</v>
      </c>
      <c r="D201" s="28">
        <v>5056003778540</v>
      </c>
      <c r="E201" s="35" t="s">
        <v>2094</v>
      </c>
      <c r="F201" s="12" t="s">
        <v>1684</v>
      </c>
      <c r="G201" s="31">
        <v>16.86</v>
      </c>
      <c r="I201" s="2">
        <f>VLOOKUP(C201,[1]Sheet1!$C:$G,5,FALSE)</f>
        <v>16.86</v>
      </c>
      <c r="J201" s="33">
        <f t="shared" si="3"/>
        <v>0</v>
      </c>
    </row>
    <row r="202" spans="1:10" x14ac:dyDescent="0.3">
      <c r="A202" s="26" t="s">
        <v>828</v>
      </c>
      <c r="B202" s="35" t="s">
        <v>1719</v>
      </c>
      <c r="C202" s="35" t="s">
        <v>1982</v>
      </c>
      <c r="D202" s="28">
        <v>5056003779035</v>
      </c>
      <c r="E202" s="35" t="s">
        <v>2095</v>
      </c>
      <c r="F202" s="12" t="s">
        <v>1684</v>
      </c>
      <c r="G202" s="31">
        <v>16.86</v>
      </c>
      <c r="I202" s="2">
        <f>VLOOKUP(C202,[1]Sheet1!$C:$G,5,FALSE)</f>
        <v>16.86</v>
      </c>
      <c r="J202" s="33">
        <f t="shared" si="3"/>
        <v>0</v>
      </c>
    </row>
    <row r="203" spans="1:10" x14ac:dyDescent="0.3">
      <c r="A203" s="26" t="s">
        <v>828</v>
      </c>
      <c r="B203" s="35" t="s">
        <v>1719</v>
      </c>
      <c r="C203" s="35" t="s">
        <v>1983</v>
      </c>
      <c r="D203" s="28">
        <v>5056003778687</v>
      </c>
      <c r="E203" s="35" t="s">
        <v>2096</v>
      </c>
      <c r="F203" s="12" t="s">
        <v>1684</v>
      </c>
      <c r="G203" s="31">
        <v>16.86</v>
      </c>
      <c r="I203" s="2">
        <f>VLOOKUP(C203,[1]Sheet1!$C:$G,5,FALSE)</f>
        <v>16.86</v>
      </c>
      <c r="J203" s="33">
        <f t="shared" si="3"/>
        <v>0</v>
      </c>
    </row>
    <row r="204" spans="1:10" x14ac:dyDescent="0.3">
      <c r="A204" s="26" t="s">
        <v>828</v>
      </c>
      <c r="B204" s="35" t="s">
        <v>1719</v>
      </c>
      <c r="C204" s="35" t="s">
        <v>1984</v>
      </c>
      <c r="D204" s="28">
        <v>5056003779110</v>
      </c>
      <c r="E204" s="35" t="s">
        <v>2097</v>
      </c>
      <c r="F204" s="12" t="s">
        <v>1684</v>
      </c>
      <c r="G204" s="31">
        <v>16.86</v>
      </c>
      <c r="I204" s="2">
        <f>VLOOKUP(C204,[1]Sheet1!$C:$G,5,FALSE)</f>
        <v>16.86</v>
      </c>
      <c r="J204" s="33">
        <f t="shared" si="3"/>
        <v>0</v>
      </c>
    </row>
    <row r="205" spans="1:10" x14ac:dyDescent="0.3">
      <c r="A205" s="26" t="s">
        <v>828</v>
      </c>
      <c r="B205" s="35" t="s">
        <v>1719</v>
      </c>
      <c r="C205" s="35" t="s">
        <v>1985</v>
      </c>
      <c r="D205" s="28">
        <v>5056003778878</v>
      </c>
      <c r="E205" s="35" t="s">
        <v>2098</v>
      </c>
      <c r="F205" s="12" t="s">
        <v>1684</v>
      </c>
      <c r="G205" s="31">
        <v>16.86</v>
      </c>
      <c r="I205" s="2">
        <f>VLOOKUP(C205,[1]Sheet1!$C:$G,5,FALSE)</f>
        <v>16.86</v>
      </c>
      <c r="J205" s="33">
        <f t="shared" si="3"/>
        <v>0</v>
      </c>
    </row>
    <row r="206" spans="1:10" x14ac:dyDescent="0.3">
      <c r="A206" s="26" t="s">
        <v>828</v>
      </c>
      <c r="B206" s="35" t="s">
        <v>1719</v>
      </c>
      <c r="C206" s="35" t="s">
        <v>1986</v>
      </c>
      <c r="D206" s="28">
        <v>5056003778465</v>
      </c>
      <c r="E206" s="35" t="s">
        <v>2099</v>
      </c>
      <c r="F206" s="12" t="s">
        <v>1684</v>
      </c>
      <c r="G206" s="31">
        <v>16.86</v>
      </c>
      <c r="I206" s="2">
        <f>VLOOKUP(C206,[1]Sheet1!$C:$G,5,FALSE)</f>
        <v>16.86</v>
      </c>
      <c r="J206" s="33">
        <f t="shared" si="3"/>
        <v>0</v>
      </c>
    </row>
    <row r="207" spans="1:10" x14ac:dyDescent="0.3">
      <c r="A207" s="26" t="s">
        <v>828</v>
      </c>
      <c r="B207" s="8" t="s">
        <v>1719</v>
      </c>
      <c r="C207" s="35" t="s">
        <v>1987</v>
      </c>
      <c r="D207" s="28">
        <v>5056003778557</v>
      </c>
      <c r="E207" s="35" t="s">
        <v>2100</v>
      </c>
      <c r="F207" s="12" t="s">
        <v>1684</v>
      </c>
      <c r="G207" s="31">
        <v>16.86</v>
      </c>
      <c r="I207" s="2">
        <f>VLOOKUP(C207,[1]Sheet1!$C:$G,5,FALSE)</f>
        <v>16.86</v>
      </c>
      <c r="J207" s="33">
        <f t="shared" si="3"/>
        <v>0</v>
      </c>
    </row>
    <row r="208" spans="1:10" x14ac:dyDescent="0.3">
      <c r="A208" s="26" t="s">
        <v>828</v>
      </c>
      <c r="B208" s="8" t="s">
        <v>1719</v>
      </c>
      <c r="C208" s="35" t="s">
        <v>1988</v>
      </c>
      <c r="D208" s="28">
        <v>5056003779042</v>
      </c>
      <c r="E208" s="35" t="s">
        <v>2101</v>
      </c>
      <c r="F208" s="12" t="s">
        <v>1684</v>
      </c>
      <c r="G208" s="31">
        <v>16.86</v>
      </c>
      <c r="I208" s="2">
        <f>VLOOKUP(C208,[1]Sheet1!$C:$G,5,FALSE)</f>
        <v>16.86</v>
      </c>
      <c r="J208" s="33">
        <f t="shared" si="3"/>
        <v>0</v>
      </c>
    </row>
    <row r="209" spans="1:10" x14ac:dyDescent="0.3">
      <c r="A209" s="26" t="s">
        <v>828</v>
      </c>
      <c r="B209" s="8" t="s">
        <v>1719</v>
      </c>
      <c r="C209" s="8" t="s">
        <v>1989</v>
      </c>
      <c r="D209" s="28">
        <v>5056003778964</v>
      </c>
      <c r="E209" s="8" t="s">
        <v>2102</v>
      </c>
      <c r="F209" s="12" t="s">
        <v>1684</v>
      </c>
      <c r="G209" s="31">
        <v>16.86</v>
      </c>
      <c r="I209" s="2">
        <f>VLOOKUP(C209,[1]Sheet1!$C:$G,5,FALSE)</f>
        <v>16.86</v>
      </c>
      <c r="J209" s="33">
        <f t="shared" si="3"/>
        <v>0</v>
      </c>
    </row>
    <row r="210" spans="1:10" x14ac:dyDescent="0.3">
      <c r="A210" s="26" t="s">
        <v>828</v>
      </c>
      <c r="B210" s="8" t="s">
        <v>1719</v>
      </c>
      <c r="C210" s="8" t="s">
        <v>1990</v>
      </c>
      <c r="D210" s="28">
        <v>5056003778946</v>
      </c>
      <c r="E210" s="8" t="s">
        <v>2103</v>
      </c>
      <c r="F210" s="12" t="s">
        <v>1684</v>
      </c>
      <c r="G210" s="31">
        <v>16.86</v>
      </c>
      <c r="I210" s="2">
        <f>VLOOKUP(C210,[1]Sheet1!$C:$G,5,FALSE)</f>
        <v>16.86</v>
      </c>
      <c r="J210" s="33">
        <f t="shared" si="3"/>
        <v>0</v>
      </c>
    </row>
    <row r="211" spans="1:10" x14ac:dyDescent="0.3">
      <c r="A211" s="26" t="s">
        <v>828</v>
      </c>
      <c r="B211" s="8" t="s">
        <v>1719</v>
      </c>
      <c r="C211" s="8" t="s">
        <v>1991</v>
      </c>
      <c r="D211" s="28">
        <v>5056003778762</v>
      </c>
      <c r="E211" s="8" t="s">
        <v>2104</v>
      </c>
      <c r="F211" s="12" t="s">
        <v>1684</v>
      </c>
      <c r="G211" s="31">
        <v>16.86</v>
      </c>
      <c r="I211" s="2">
        <f>VLOOKUP(C211,[1]Sheet1!$C:$G,5,FALSE)</f>
        <v>16.86</v>
      </c>
      <c r="J211" s="33">
        <f t="shared" si="3"/>
        <v>0</v>
      </c>
    </row>
    <row r="212" spans="1:10" x14ac:dyDescent="0.3">
      <c r="A212" s="26" t="s">
        <v>828</v>
      </c>
      <c r="B212" s="8" t="s">
        <v>1719</v>
      </c>
      <c r="C212" s="8" t="s">
        <v>1992</v>
      </c>
      <c r="D212" s="28">
        <v>5056003778885</v>
      </c>
      <c r="E212" s="8" t="s">
        <v>2105</v>
      </c>
      <c r="F212" s="12" t="s">
        <v>1684</v>
      </c>
      <c r="G212" s="31">
        <v>16.86</v>
      </c>
      <c r="I212" s="2">
        <f>VLOOKUP(C212,[1]Sheet1!$C:$G,5,FALSE)</f>
        <v>16.86</v>
      </c>
      <c r="J212" s="33">
        <f t="shared" si="3"/>
        <v>0</v>
      </c>
    </row>
    <row r="213" spans="1:10" x14ac:dyDescent="0.3">
      <c r="A213" s="26" t="s">
        <v>828</v>
      </c>
      <c r="B213" s="8" t="s">
        <v>1719</v>
      </c>
      <c r="C213" s="8" t="s">
        <v>1993</v>
      </c>
      <c r="D213" s="28">
        <v>5056003778472</v>
      </c>
      <c r="E213" s="8" t="s">
        <v>2106</v>
      </c>
      <c r="F213" s="12" t="s">
        <v>1684</v>
      </c>
      <c r="G213" s="31">
        <v>16.86</v>
      </c>
      <c r="I213" s="2">
        <f>VLOOKUP(C213,[1]Sheet1!$C:$G,5,FALSE)</f>
        <v>16.86</v>
      </c>
      <c r="J213" s="33">
        <f t="shared" si="3"/>
        <v>0</v>
      </c>
    </row>
    <row r="214" spans="1:10" x14ac:dyDescent="0.3">
      <c r="A214" s="26" t="s">
        <v>828</v>
      </c>
      <c r="B214" s="8" t="s">
        <v>1719</v>
      </c>
      <c r="C214" s="8" t="s">
        <v>1994</v>
      </c>
      <c r="D214" s="28">
        <v>5056003778564</v>
      </c>
      <c r="E214" s="8" t="s">
        <v>2107</v>
      </c>
      <c r="F214" s="12" t="s">
        <v>1684</v>
      </c>
      <c r="G214" s="31">
        <v>16.86</v>
      </c>
      <c r="I214" s="2">
        <f>VLOOKUP(C214,[1]Sheet1!$C:$G,5,FALSE)</f>
        <v>16.86</v>
      </c>
      <c r="J214" s="33">
        <f t="shared" si="3"/>
        <v>0</v>
      </c>
    </row>
    <row r="215" spans="1:10" x14ac:dyDescent="0.3">
      <c r="A215" s="26" t="s">
        <v>828</v>
      </c>
      <c r="B215" s="8" t="s">
        <v>1719</v>
      </c>
      <c r="C215" s="8" t="s">
        <v>1995</v>
      </c>
      <c r="D215" s="28">
        <v>5056003779059</v>
      </c>
      <c r="E215" s="8" t="s">
        <v>2108</v>
      </c>
      <c r="F215" s="12" t="s">
        <v>1684</v>
      </c>
      <c r="G215" s="31">
        <v>16.86</v>
      </c>
      <c r="I215" s="2">
        <f>VLOOKUP(C215,[1]Sheet1!$C:$G,5,FALSE)</f>
        <v>16.86</v>
      </c>
      <c r="J215" s="33">
        <f t="shared" si="3"/>
        <v>0</v>
      </c>
    </row>
    <row r="216" spans="1:10" x14ac:dyDescent="0.3">
      <c r="A216" s="26" t="s">
        <v>828</v>
      </c>
      <c r="B216" s="8" t="s">
        <v>1719</v>
      </c>
      <c r="C216" s="8" t="s">
        <v>1996</v>
      </c>
      <c r="D216" s="28">
        <v>5056003778700</v>
      </c>
      <c r="E216" s="8" t="s">
        <v>2109</v>
      </c>
      <c r="F216" s="12" t="s">
        <v>1684</v>
      </c>
      <c r="G216" s="31">
        <v>16.86</v>
      </c>
      <c r="I216" s="2">
        <f>VLOOKUP(C216,[1]Sheet1!$C:$G,5,FALSE)</f>
        <v>16.86</v>
      </c>
      <c r="J216" s="33">
        <f t="shared" si="3"/>
        <v>0</v>
      </c>
    </row>
    <row r="217" spans="1:10" x14ac:dyDescent="0.3">
      <c r="A217" s="26" t="s">
        <v>828</v>
      </c>
      <c r="B217" s="8" t="s">
        <v>1719</v>
      </c>
      <c r="C217" s="8" t="s">
        <v>1997</v>
      </c>
      <c r="D217" s="28">
        <v>5056003778748</v>
      </c>
      <c r="E217" s="8" t="s">
        <v>2110</v>
      </c>
      <c r="F217" s="12" t="s">
        <v>1684</v>
      </c>
      <c r="G217" s="31">
        <v>16.86</v>
      </c>
      <c r="I217" s="2">
        <f>VLOOKUP(C217,[1]Sheet1!$C:$G,5,FALSE)</f>
        <v>16.86</v>
      </c>
      <c r="J217" s="33">
        <f t="shared" si="3"/>
        <v>0</v>
      </c>
    </row>
    <row r="218" spans="1:10" x14ac:dyDescent="0.3">
      <c r="A218" s="26" t="s">
        <v>828</v>
      </c>
      <c r="B218" s="8" t="s">
        <v>1719</v>
      </c>
      <c r="C218" s="8" t="s">
        <v>1999</v>
      </c>
      <c r="D218" s="28">
        <v>5056003778892</v>
      </c>
      <c r="E218" s="8" t="s">
        <v>2112</v>
      </c>
      <c r="F218" s="12" t="s">
        <v>1684</v>
      </c>
      <c r="G218" s="31">
        <v>16.86</v>
      </c>
      <c r="I218" s="2">
        <f>VLOOKUP(C218,[1]Sheet1!$C:$G,5,FALSE)</f>
        <v>16.86</v>
      </c>
      <c r="J218" s="33">
        <f t="shared" si="3"/>
        <v>0</v>
      </c>
    </row>
    <row r="219" spans="1:10" x14ac:dyDescent="0.3">
      <c r="A219" s="26" t="s">
        <v>828</v>
      </c>
      <c r="B219" s="8" t="s">
        <v>1719</v>
      </c>
      <c r="C219" s="8" t="s">
        <v>2000</v>
      </c>
      <c r="D219" s="28">
        <v>5056003778489</v>
      </c>
      <c r="E219" s="8" t="s">
        <v>2113</v>
      </c>
      <c r="F219" s="12" t="s">
        <v>1684</v>
      </c>
      <c r="G219" s="31">
        <v>16.86</v>
      </c>
      <c r="I219" s="2">
        <f>VLOOKUP(C219,[1]Sheet1!$C:$G,5,FALSE)</f>
        <v>16.86</v>
      </c>
      <c r="J219" s="33">
        <f t="shared" si="3"/>
        <v>0</v>
      </c>
    </row>
    <row r="220" spans="1:10" x14ac:dyDescent="0.3">
      <c r="A220" s="26" t="s">
        <v>828</v>
      </c>
      <c r="B220" s="8" t="s">
        <v>1719</v>
      </c>
      <c r="C220" s="8" t="s">
        <v>2001</v>
      </c>
      <c r="D220" s="28">
        <v>5056003778571</v>
      </c>
      <c r="E220" s="8" t="s">
        <v>2114</v>
      </c>
      <c r="F220" s="12" t="s">
        <v>1684</v>
      </c>
      <c r="G220" s="31">
        <v>16.86</v>
      </c>
      <c r="I220" s="2">
        <f>VLOOKUP(C220,[1]Sheet1!$C:$G,5,FALSE)</f>
        <v>16.86</v>
      </c>
      <c r="J220" s="33">
        <f t="shared" si="3"/>
        <v>0</v>
      </c>
    </row>
    <row r="221" spans="1:10" x14ac:dyDescent="0.3">
      <c r="A221" s="26" t="s">
        <v>828</v>
      </c>
      <c r="B221" s="8" t="s">
        <v>1719</v>
      </c>
      <c r="C221" s="8" t="s">
        <v>2002</v>
      </c>
      <c r="D221" s="28">
        <v>5056003779066</v>
      </c>
      <c r="E221" s="8" t="s">
        <v>2115</v>
      </c>
      <c r="F221" s="12" t="s">
        <v>1684</v>
      </c>
      <c r="G221" s="31">
        <v>16.86</v>
      </c>
      <c r="I221" s="2">
        <f>VLOOKUP(C221,[1]Sheet1!$C:$G,5,FALSE)</f>
        <v>16.86</v>
      </c>
      <c r="J221" s="33">
        <f t="shared" si="3"/>
        <v>0</v>
      </c>
    </row>
    <row r="222" spans="1:10" x14ac:dyDescent="0.3">
      <c r="A222" s="26" t="s">
        <v>828</v>
      </c>
      <c r="B222" s="8" t="s">
        <v>1719</v>
      </c>
      <c r="C222" s="8" t="s">
        <v>2003</v>
      </c>
      <c r="D222" s="28">
        <v>5056003778717</v>
      </c>
      <c r="E222" s="8" t="s">
        <v>2116</v>
      </c>
      <c r="F222" s="12" t="s">
        <v>1684</v>
      </c>
      <c r="G222" s="31">
        <v>16.86</v>
      </c>
      <c r="I222" s="2">
        <f>VLOOKUP(C222,[1]Sheet1!$C:$G,5,FALSE)</f>
        <v>16.86</v>
      </c>
      <c r="J222" s="33">
        <f t="shared" si="3"/>
        <v>0</v>
      </c>
    </row>
    <row r="223" spans="1:10" x14ac:dyDescent="0.3">
      <c r="A223" s="26" t="s">
        <v>828</v>
      </c>
      <c r="B223" s="8" t="s">
        <v>1719</v>
      </c>
      <c r="C223" s="8" t="s">
        <v>2004</v>
      </c>
      <c r="D223" s="28">
        <v>5056003779172</v>
      </c>
      <c r="E223" s="8" t="s">
        <v>2117</v>
      </c>
      <c r="F223" s="12" t="s">
        <v>1684</v>
      </c>
      <c r="G223" s="31">
        <v>16.86</v>
      </c>
      <c r="I223" s="2">
        <f>VLOOKUP(C223,[1]Sheet1!$C:$G,5,FALSE)</f>
        <v>16.86</v>
      </c>
      <c r="J223" s="33">
        <f t="shared" ref="J223:J260" si="4">(G223-I223)/I223</f>
        <v>0</v>
      </c>
    </row>
    <row r="224" spans="1:10" x14ac:dyDescent="0.3">
      <c r="A224" s="26" t="s">
        <v>828</v>
      </c>
      <c r="B224" s="8" t="s">
        <v>1719</v>
      </c>
      <c r="C224" s="8" t="s">
        <v>1998</v>
      </c>
      <c r="D224" s="28">
        <v>5056003778779</v>
      </c>
      <c r="E224" s="8" t="s">
        <v>2111</v>
      </c>
      <c r="F224" s="12" t="s">
        <v>1684</v>
      </c>
      <c r="G224" s="31">
        <v>16.86</v>
      </c>
      <c r="I224" s="2">
        <f>VLOOKUP(C224,[1]Sheet1!$C:$G,5,FALSE)</f>
        <v>16.86</v>
      </c>
      <c r="J224" s="33">
        <f t="shared" si="4"/>
        <v>0</v>
      </c>
    </row>
    <row r="225" spans="1:10" x14ac:dyDescent="0.3">
      <c r="A225" s="26" t="s">
        <v>828</v>
      </c>
      <c r="B225" s="8" t="s">
        <v>1719</v>
      </c>
      <c r="C225" s="8" t="s">
        <v>2005</v>
      </c>
      <c r="D225" s="28">
        <v>5056003778908</v>
      </c>
      <c r="E225" s="8" t="s">
        <v>2118</v>
      </c>
      <c r="F225" s="12" t="s">
        <v>1684</v>
      </c>
      <c r="G225" s="31">
        <v>16.86</v>
      </c>
      <c r="I225" s="2">
        <f>VLOOKUP(C225,[1]Sheet1!$C:$G,5,FALSE)</f>
        <v>16.86</v>
      </c>
      <c r="J225" s="33">
        <f t="shared" si="4"/>
        <v>0</v>
      </c>
    </row>
    <row r="226" spans="1:10" x14ac:dyDescent="0.3">
      <c r="A226" s="26" t="s">
        <v>828</v>
      </c>
      <c r="B226" s="8" t="s">
        <v>1719</v>
      </c>
      <c r="C226" s="8" t="s">
        <v>2006</v>
      </c>
      <c r="D226" s="28">
        <v>5056003778496</v>
      </c>
      <c r="E226" s="8" t="s">
        <v>2119</v>
      </c>
      <c r="F226" s="12" t="s">
        <v>1684</v>
      </c>
      <c r="G226" s="31">
        <v>16.86</v>
      </c>
      <c r="I226" s="2">
        <f>VLOOKUP(C226,[1]Sheet1!$C:$G,5,FALSE)</f>
        <v>16.86</v>
      </c>
      <c r="J226" s="33">
        <f t="shared" si="4"/>
        <v>0</v>
      </c>
    </row>
    <row r="227" spans="1:10" x14ac:dyDescent="0.3">
      <c r="A227" s="26" t="s">
        <v>828</v>
      </c>
      <c r="B227" s="8" t="s">
        <v>1719</v>
      </c>
      <c r="C227" s="8" t="s">
        <v>2007</v>
      </c>
      <c r="D227" s="28">
        <v>5056003778588</v>
      </c>
      <c r="E227" s="8" t="s">
        <v>2120</v>
      </c>
      <c r="F227" s="12" t="s">
        <v>1684</v>
      </c>
      <c r="G227" s="31">
        <v>16.86</v>
      </c>
      <c r="I227" s="2">
        <f>VLOOKUP(C227,[1]Sheet1!$C:$G,5,FALSE)</f>
        <v>16.86</v>
      </c>
      <c r="J227" s="33">
        <f t="shared" si="4"/>
        <v>0</v>
      </c>
    </row>
    <row r="228" spans="1:10" x14ac:dyDescent="0.3">
      <c r="A228" s="26" t="s">
        <v>828</v>
      </c>
      <c r="B228" s="8" t="s">
        <v>1719</v>
      </c>
      <c r="C228" s="8" t="s">
        <v>2008</v>
      </c>
      <c r="D228" s="28">
        <v>5056003779073</v>
      </c>
      <c r="E228" s="8" t="s">
        <v>2121</v>
      </c>
      <c r="F228" s="12" t="s">
        <v>1684</v>
      </c>
      <c r="G228" s="31">
        <v>16.86</v>
      </c>
      <c r="I228" s="2">
        <f>VLOOKUP(C228,[1]Sheet1!$C:$G,5,FALSE)</f>
        <v>16.86</v>
      </c>
      <c r="J228" s="33">
        <f t="shared" si="4"/>
        <v>0</v>
      </c>
    </row>
    <row r="229" spans="1:10" x14ac:dyDescent="0.3">
      <c r="A229" s="26" t="s">
        <v>828</v>
      </c>
      <c r="B229" s="8" t="s">
        <v>1719</v>
      </c>
      <c r="C229" s="8" t="s">
        <v>2009</v>
      </c>
      <c r="D229" s="28">
        <v>5056003778724</v>
      </c>
      <c r="E229" s="8" t="s">
        <v>2122</v>
      </c>
      <c r="F229" s="12" t="s">
        <v>1684</v>
      </c>
      <c r="G229" s="31">
        <v>16.86</v>
      </c>
      <c r="I229" s="2">
        <f>VLOOKUP(C229,[1]Sheet1!$C:$G,5,FALSE)</f>
        <v>16.86</v>
      </c>
      <c r="J229" s="33">
        <f t="shared" si="4"/>
        <v>0</v>
      </c>
    </row>
    <row r="230" spans="1:10" x14ac:dyDescent="0.3">
      <c r="A230" s="26" t="s">
        <v>828</v>
      </c>
      <c r="B230" s="8" t="s">
        <v>1719</v>
      </c>
      <c r="C230" s="8" t="s">
        <v>2010</v>
      </c>
      <c r="D230" s="28">
        <v>5056003779127</v>
      </c>
      <c r="E230" s="8" t="s">
        <v>2123</v>
      </c>
      <c r="F230" s="12" t="s">
        <v>1684</v>
      </c>
      <c r="G230" s="31">
        <v>16.86</v>
      </c>
      <c r="I230" s="2">
        <f>VLOOKUP(C230,[1]Sheet1!$C:$G,5,FALSE)</f>
        <v>16.86</v>
      </c>
      <c r="J230" s="33">
        <f t="shared" si="4"/>
        <v>0</v>
      </c>
    </row>
    <row r="231" spans="1:10" x14ac:dyDescent="0.3">
      <c r="A231" s="26" t="s">
        <v>828</v>
      </c>
      <c r="B231" s="8" t="s">
        <v>1719</v>
      </c>
      <c r="C231" s="8" t="s">
        <v>2011</v>
      </c>
      <c r="D231" s="28">
        <v>5056003778786</v>
      </c>
      <c r="E231" s="8" t="s">
        <v>2124</v>
      </c>
      <c r="F231" s="12" t="s">
        <v>1684</v>
      </c>
      <c r="G231" s="31">
        <v>16.86</v>
      </c>
      <c r="I231" s="2">
        <f>VLOOKUP(C231,[1]Sheet1!$C:$G,5,FALSE)</f>
        <v>16.86</v>
      </c>
      <c r="J231" s="33">
        <f t="shared" si="4"/>
        <v>0</v>
      </c>
    </row>
    <row r="232" spans="1:10" x14ac:dyDescent="0.3">
      <c r="A232" s="26" t="s">
        <v>828</v>
      </c>
      <c r="B232" s="8" t="s">
        <v>1719</v>
      </c>
      <c r="C232" s="8" t="s">
        <v>2230</v>
      </c>
      <c r="D232" s="28">
        <v>5056003778380</v>
      </c>
      <c r="E232" s="8" t="s">
        <v>2231</v>
      </c>
      <c r="F232" s="12" t="s">
        <v>1684</v>
      </c>
      <c r="G232" s="31">
        <v>451.5</v>
      </c>
      <c r="I232" s="2">
        <f>VLOOKUP(C232,[1]Sheet1!$C:$G,5,FALSE)</f>
        <v>430</v>
      </c>
      <c r="J232" s="33">
        <f t="shared" si="4"/>
        <v>0.05</v>
      </c>
    </row>
    <row r="233" spans="1:10" x14ac:dyDescent="0.3">
      <c r="A233" s="26" t="s">
        <v>828</v>
      </c>
      <c r="B233" s="8" t="s">
        <v>93</v>
      </c>
      <c r="C233" s="8" t="s">
        <v>2180</v>
      </c>
      <c r="D233" s="6">
        <v>5056003780970</v>
      </c>
      <c r="E233" s="9" t="s">
        <v>2187</v>
      </c>
      <c r="F233" s="12" t="s">
        <v>1684</v>
      </c>
      <c r="G233" s="31">
        <v>28.528500000000005</v>
      </c>
      <c r="I233" s="2">
        <f>VLOOKUP(C233,[1]Sheet1!$C:$G,5,FALSE)</f>
        <v>27.17</v>
      </c>
      <c r="J233" s="33">
        <f t="shared" si="4"/>
        <v>5.0000000000000107E-2</v>
      </c>
    </row>
    <row r="234" spans="1:10" x14ac:dyDescent="0.3">
      <c r="A234" s="26" t="s">
        <v>828</v>
      </c>
      <c r="B234" s="8" t="s">
        <v>93</v>
      </c>
      <c r="C234" s="8" t="s">
        <v>2181</v>
      </c>
      <c r="D234" s="6">
        <v>5056003780987</v>
      </c>
      <c r="E234" s="9" t="s">
        <v>2188</v>
      </c>
      <c r="F234" s="12" t="s">
        <v>1684</v>
      </c>
      <c r="G234" s="31">
        <v>17.776500000000002</v>
      </c>
      <c r="I234" s="2">
        <f>VLOOKUP(C234,[1]Sheet1!$C:$G,5,FALSE)</f>
        <v>16.93</v>
      </c>
      <c r="J234" s="33">
        <f t="shared" si="4"/>
        <v>5.0000000000000148E-2</v>
      </c>
    </row>
    <row r="235" spans="1:10" x14ac:dyDescent="0.3">
      <c r="A235" s="26" t="s">
        <v>828</v>
      </c>
      <c r="B235" s="8" t="s">
        <v>93</v>
      </c>
      <c r="C235" s="8" t="s">
        <v>2182</v>
      </c>
      <c r="D235" s="6">
        <v>5056003780994</v>
      </c>
      <c r="E235" s="9" t="s">
        <v>2189</v>
      </c>
      <c r="F235" s="12" t="s">
        <v>1684</v>
      </c>
      <c r="G235" s="31">
        <v>36.771000000000008</v>
      </c>
      <c r="I235" s="2">
        <f>VLOOKUP(C235,[1]Sheet1!$C:$G,5,FALSE)</f>
        <v>35.020000000000003</v>
      </c>
      <c r="J235" s="33">
        <f t="shared" si="4"/>
        <v>5.0000000000000135E-2</v>
      </c>
    </row>
    <row r="236" spans="1:10" x14ac:dyDescent="0.3">
      <c r="A236" s="26" t="s">
        <v>828</v>
      </c>
      <c r="B236" s="8" t="s">
        <v>93</v>
      </c>
      <c r="C236" s="8" t="s">
        <v>2183</v>
      </c>
      <c r="D236" s="6">
        <v>5056003781007</v>
      </c>
      <c r="E236" s="9" t="s">
        <v>2190</v>
      </c>
      <c r="F236" s="12" t="s">
        <v>1684</v>
      </c>
      <c r="G236" s="31">
        <v>34.051500000000004</v>
      </c>
      <c r="I236" s="2">
        <f>VLOOKUP(C236,[1]Sheet1!$C:$G,5,FALSE)</f>
        <v>32.43</v>
      </c>
      <c r="J236" s="33">
        <f t="shared" si="4"/>
        <v>5.0000000000000142E-2</v>
      </c>
    </row>
    <row r="237" spans="1:10" x14ac:dyDescent="0.3">
      <c r="A237" s="26" t="s">
        <v>828</v>
      </c>
      <c r="B237" s="8" t="s">
        <v>93</v>
      </c>
      <c r="C237" s="8" t="s">
        <v>2184</v>
      </c>
      <c r="D237" s="6">
        <v>5056003781014</v>
      </c>
      <c r="E237" s="9" t="s">
        <v>2191</v>
      </c>
      <c r="F237" s="12" t="s">
        <v>1684</v>
      </c>
      <c r="G237" s="31">
        <v>34.051500000000004</v>
      </c>
      <c r="I237" s="2">
        <f>VLOOKUP(C237,[1]Sheet1!$C:$G,5,FALSE)</f>
        <v>32.43</v>
      </c>
      <c r="J237" s="33">
        <f t="shared" si="4"/>
        <v>5.0000000000000142E-2</v>
      </c>
    </row>
    <row r="238" spans="1:10" x14ac:dyDescent="0.3">
      <c r="A238" s="26" t="s">
        <v>828</v>
      </c>
      <c r="B238" s="8" t="s">
        <v>93</v>
      </c>
      <c r="C238" s="8" t="s">
        <v>2185</v>
      </c>
      <c r="D238" s="6">
        <v>5056003781045</v>
      </c>
      <c r="E238" s="9" t="s">
        <v>2192</v>
      </c>
      <c r="F238" s="12" t="s">
        <v>1684</v>
      </c>
      <c r="G238" s="31">
        <v>10.899000000000001</v>
      </c>
      <c r="I238" s="2">
        <f>VLOOKUP(C238,[1]Sheet1!$C:$G,5,FALSE)</f>
        <v>10.38</v>
      </c>
      <c r="J238" s="33">
        <f t="shared" si="4"/>
        <v>5.000000000000001E-2</v>
      </c>
    </row>
    <row r="239" spans="1:10" x14ac:dyDescent="0.3">
      <c r="A239" s="26" t="s">
        <v>828</v>
      </c>
      <c r="B239" s="8" t="s">
        <v>93</v>
      </c>
      <c r="C239" s="8" t="s">
        <v>2186</v>
      </c>
      <c r="D239" s="6">
        <v>5056003781335</v>
      </c>
      <c r="E239" s="9" t="s">
        <v>2193</v>
      </c>
      <c r="F239" s="12" t="s">
        <v>1684</v>
      </c>
      <c r="G239" s="31">
        <v>37.400999999999996</v>
      </c>
      <c r="I239" s="2">
        <f>VLOOKUP(C239,[1]Sheet1!$C:$G,5,FALSE)</f>
        <v>35.619999999999997</v>
      </c>
      <c r="J239" s="33">
        <f t="shared" si="4"/>
        <v>4.9999999999999968E-2</v>
      </c>
    </row>
    <row r="240" spans="1:10" x14ac:dyDescent="0.3">
      <c r="A240" s="29" t="s">
        <v>1852</v>
      </c>
      <c r="B240" s="8" t="s">
        <v>1853</v>
      </c>
      <c r="C240" s="8" t="s">
        <v>1854</v>
      </c>
      <c r="D240" s="6">
        <v>5056003704532</v>
      </c>
      <c r="E240" s="9" t="s">
        <v>1855</v>
      </c>
      <c r="F240" s="9" t="s">
        <v>1856</v>
      </c>
      <c r="G240" s="31">
        <v>432.90599999999995</v>
      </c>
      <c r="I240" s="2">
        <f>VLOOKUP(C240,[1]Sheet1!$C:$G,5,FALSE)</f>
        <v>376.44</v>
      </c>
      <c r="J240" s="33">
        <f t="shared" si="4"/>
        <v>0.14999999999999988</v>
      </c>
    </row>
    <row r="241" spans="1:11" s="47" customFormat="1" x14ac:dyDescent="0.3">
      <c r="A241" s="42" t="s">
        <v>1852</v>
      </c>
      <c r="B241" s="43" t="s">
        <v>1853</v>
      </c>
      <c r="C241" s="43" t="s">
        <v>1857</v>
      </c>
      <c r="D241" s="44">
        <v>5056003708059</v>
      </c>
      <c r="E241" s="45" t="s">
        <v>1858</v>
      </c>
      <c r="F241" s="45" t="s">
        <v>1859</v>
      </c>
      <c r="G241" s="46" t="s">
        <v>2336</v>
      </c>
      <c r="I241" s="47">
        <f>VLOOKUP(C241,[1]Sheet1!$C:$G,5,FALSE)</f>
        <v>376.44</v>
      </c>
      <c r="J241" s="48"/>
      <c r="K241" s="47" t="s">
        <v>2335</v>
      </c>
    </row>
    <row r="242" spans="1:11" s="54" customFormat="1" x14ac:dyDescent="0.3">
      <c r="A242" s="49" t="s">
        <v>1852</v>
      </c>
      <c r="B242" s="50" t="s">
        <v>1853</v>
      </c>
      <c r="C242" s="50" t="s">
        <v>2334</v>
      </c>
      <c r="D242" s="51">
        <v>5056003783797</v>
      </c>
      <c r="E242" s="52" t="s">
        <v>2345</v>
      </c>
      <c r="F242" s="52" t="s">
        <v>2346</v>
      </c>
      <c r="G242" s="53">
        <v>432.90599999999995</v>
      </c>
      <c r="J242" s="55"/>
      <c r="K242" s="54" t="s">
        <v>2337</v>
      </c>
    </row>
    <row r="243" spans="1:11" x14ac:dyDescent="0.3">
      <c r="A243" s="29" t="s">
        <v>1852</v>
      </c>
      <c r="B243" s="8" t="s">
        <v>1853</v>
      </c>
      <c r="C243" s="8" t="s">
        <v>1860</v>
      </c>
      <c r="D243" s="6">
        <v>5056003708318</v>
      </c>
      <c r="E243" s="9" t="s">
        <v>1861</v>
      </c>
      <c r="F243" s="9" t="s">
        <v>1862</v>
      </c>
      <c r="G243" s="31">
        <v>26.431999999999999</v>
      </c>
      <c r="I243" s="2">
        <f>VLOOKUP(C243,[1]Sheet1!$C:$G,5,FALSE)</f>
        <v>22.4</v>
      </c>
      <c r="J243" s="33">
        <f t="shared" si="4"/>
        <v>0.18000000000000002</v>
      </c>
    </row>
    <row r="244" spans="1:11" x14ac:dyDescent="0.3">
      <c r="A244" s="29" t="s">
        <v>1852</v>
      </c>
      <c r="B244" s="8" t="s">
        <v>1853</v>
      </c>
      <c r="C244" s="8" t="s">
        <v>1863</v>
      </c>
      <c r="D244" s="6">
        <v>5056003724271</v>
      </c>
      <c r="E244" s="9" t="s">
        <v>1864</v>
      </c>
      <c r="F244" s="9"/>
      <c r="G244" s="31">
        <v>17.157</v>
      </c>
      <c r="I244" s="2">
        <f>VLOOKUP(C244,[1]Sheet1!$C:$G,5,FALSE)</f>
        <v>16.34</v>
      </c>
      <c r="J244" s="33">
        <f t="shared" si="4"/>
        <v>5.000000000000001E-2</v>
      </c>
    </row>
    <row r="245" spans="1:11" x14ac:dyDescent="0.3">
      <c r="A245" s="29" t="s">
        <v>1852</v>
      </c>
      <c r="B245" s="8" t="s">
        <v>1853</v>
      </c>
      <c r="C245" s="38" t="s">
        <v>1865</v>
      </c>
      <c r="D245" s="6">
        <v>5056003704549</v>
      </c>
      <c r="E245" s="9" t="s">
        <v>1866</v>
      </c>
      <c r="F245" s="9"/>
      <c r="G245" s="31">
        <v>30.118499999999997</v>
      </c>
      <c r="I245" s="2">
        <f>VLOOKUP(C245,[1]Sheet1!$C:$G,5,FALSE)</f>
        <v>26.19</v>
      </c>
      <c r="J245" s="33">
        <f t="shared" si="4"/>
        <v>0.14999999999999986</v>
      </c>
    </row>
    <row r="246" spans="1:11" x14ac:dyDescent="0.3">
      <c r="A246" s="29" t="s">
        <v>1852</v>
      </c>
      <c r="B246" s="8" t="s">
        <v>1853</v>
      </c>
      <c r="C246" s="39" t="s">
        <v>1867</v>
      </c>
      <c r="D246" s="6">
        <v>5056003706666</v>
      </c>
      <c r="E246" s="9" t="s">
        <v>1868</v>
      </c>
      <c r="F246" s="9" t="s">
        <v>1869</v>
      </c>
      <c r="G246" s="31" t="s">
        <v>92</v>
      </c>
      <c r="I246" s="2" t="str">
        <f>VLOOKUP(C246,[1]Sheet1!$C:$G,5,FALSE)</f>
        <v>POA</v>
      </c>
      <c r="J246" s="33"/>
    </row>
    <row r="247" spans="1:11" x14ac:dyDescent="0.3">
      <c r="A247" s="29" t="s">
        <v>1852</v>
      </c>
      <c r="B247" s="8" t="s">
        <v>1853</v>
      </c>
      <c r="C247" s="8" t="s">
        <v>1870</v>
      </c>
      <c r="D247" s="6">
        <v>5056003724301</v>
      </c>
      <c r="E247" s="9" t="s">
        <v>1871</v>
      </c>
      <c r="F247" s="9"/>
      <c r="G247" s="31">
        <v>2.4779999999999998</v>
      </c>
      <c r="I247" s="2">
        <f>VLOOKUP(C247,[1]Sheet1!$C:$G,5,FALSE)</f>
        <v>2.36</v>
      </c>
      <c r="J247" s="33">
        <f t="shared" si="4"/>
        <v>4.9999999999999954E-2</v>
      </c>
    </row>
    <row r="248" spans="1:11" x14ac:dyDescent="0.3">
      <c r="A248" s="29" t="s">
        <v>1852</v>
      </c>
      <c r="B248" s="8" t="s">
        <v>1853</v>
      </c>
      <c r="C248" s="8" t="s">
        <v>1872</v>
      </c>
      <c r="D248" s="6">
        <v>5056003706574</v>
      </c>
      <c r="E248" s="9" t="s">
        <v>1868</v>
      </c>
      <c r="F248" s="9" t="s">
        <v>1873</v>
      </c>
      <c r="G248" s="31">
        <v>14.458500000000001</v>
      </c>
      <c r="I248" s="2">
        <f>VLOOKUP(C248,[1]Sheet1!$C:$G,5,FALSE)</f>
        <v>13.77</v>
      </c>
      <c r="J248" s="33">
        <f t="shared" si="4"/>
        <v>5.0000000000000093E-2</v>
      </c>
    </row>
    <row r="249" spans="1:11" s="47" customFormat="1" x14ac:dyDescent="0.3">
      <c r="A249" s="42" t="s">
        <v>1852</v>
      </c>
      <c r="B249" s="43" t="s">
        <v>1853</v>
      </c>
      <c r="C249" s="43" t="s">
        <v>1876</v>
      </c>
      <c r="D249" s="44">
        <v>5056003708325</v>
      </c>
      <c r="E249" s="45" t="s">
        <v>1874</v>
      </c>
      <c r="F249" s="45" t="s">
        <v>1875</v>
      </c>
      <c r="G249" s="46" t="s">
        <v>2336</v>
      </c>
      <c r="I249" s="47">
        <f>VLOOKUP(C249,[1]Sheet1!$C:$G,5,FALSE)</f>
        <v>60.7</v>
      </c>
      <c r="J249" s="48"/>
      <c r="K249" s="47" t="s">
        <v>2339</v>
      </c>
    </row>
    <row r="250" spans="1:11" s="54" customFormat="1" x14ac:dyDescent="0.3">
      <c r="A250" s="49" t="s">
        <v>1852</v>
      </c>
      <c r="B250" s="50" t="s">
        <v>1853</v>
      </c>
      <c r="C250" s="50" t="s">
        <v>2338</v>
      </c>
      <c r="D250" s="51">
        <v>5056003784107</v>
      </c>
      <c r="E250" s="52" t="s">
        <v>1874</v>
      </c>
      <c r="F250" s="52" t="s">
        <v>2347</v>
      </c>
      <c r="G250" s="53">
        <v>71.626000000000005</v>
      </c>
      <c r="J250" s="55"/>
      <c r="K250" s="54" t="s">
        <v>2337</v>
      </c>
    </row>
    <row r="251" spans="1:11" ht="26" x14ac:dyDescent="0.3">
      <c r="A251" s="29" t="s">
        <v>1852</v>
      </c>
      <c r="B251" s="8" t="s">
        <v>1853</v>
      </c>
      <c r="C251" s="8" t="s">
        <v>1877</v>
      </c>
      <c r="D251" s="6">
        <v>5056003707373</v>
      </c>
      <c r="E251" s="9" t="s">
        <v>2209</v>
      </c>
      <c r="F251" s="9" t="s">
        <v>1875</v>
      </c>
      <c r="G251" s="31" t="s">
        <v>92</v>
      </c>
      <c r="I251" s="2" t="str">
        <f>VLOOKUP(C251,[1]Sheet1!$C:$G,5,FALSE)</f>
        <v>POA</v>
      </c>
      <c r="J251" s="33"/>
    </row>
    <row r="252" spans="1:11" x14ac:dyDescent="0.3">
      <c r="A252" s="29" t="s">
        <v>1852</v>
      </c>
      <c r="B252" s="8" t="s">
        <v>1853</v>
      </c>
      <c r="C252" s="8" t="s">
        <v>1878</v>
      </c>
      <c r="D252" s="6">
        <v>5056003702996</v>
      </c>
      <c r="E252" s="9" t="s">
        <v>1879</v>
      </c>
      <c r="F252" s="9" t="s">
        <v>1875</v>
      </c>
      <c r="G252" s="31">
        <v>85.070999999999998</v>
      </c>
      <c r="I252" s="2">
        <f>VLOOKUP(C252,[1]Sheet1!$C:$G,5,FALSE)</f>
        <v>81.02</v>
      </c>
      <c r="J252" s="33">
        <f t="shared" si="4"/>
        <v>5.0000000000000024E-2</v>
      </c>
    </row>
    <row r="253" spans="1:11" s="47" customFormat="1" x14ac:dyDescent="0.3">
      <c r="A253" s="42" t="s">
        <v>1852</v>
      </c>
      <c r="B253" s="43" t="s">
        <v>1853</v>
      </c>
      <c r="C253" s="43" t="s">
        <v>1880</v>
      </c>
      <c r="D253" s="44">
        <v>5056003706833</v>
      </c>
      <c r="E253" s="45" t="s">
        <v>127</v>
      </c>
      <c r="F253" s="45" t="s">
        <v>1875</v>
      </c>
      <c r="G253" s="46" t="s">
        <v>2336</v>
      </c>
      <c r="I253" s="47">
        <f>VLOOKUP(C253,[1]Sheet1!$C:$G,5,FALSE)</f>
        <v>27.05</v>
      </c>
      <c r="J253" s="48"/>
      <c r="K253" s="47" t="s">
        <v>2341</v>
      </c>
    </row>
    <row r="254" spans="1:11" s="54" customFormat="1" x14ac:dyDescent="0.3">
      <c r="A254" s="49" t="s">
        <v>1852</v>
      </c>
      <c r="B254" s="50" t="s">
        <v>1853</v>
      </c>
      <c r="C254" s="50" t="s">
        <v>2340</v>
      </c>
      <c r="D254" s="51">
        <v>5056003784138</v>
      </c>
      <c r="E254" s="52" t="s">
        <v>127</v>
      </c>
      <c r="F254" s="52" t="s">
        <v>2348</v>
      </c>
      <c r="G254" s="53">
        <v>29.755000000000003</v>
      </c>
      <c r="J254" s="55"/>
      <c r="K254" s="54" t="s">
        <v>2337</v>
      </c>
    </row>
    <row r="255" spans="1:11" x14ac:dyDescent="0.3">
      <c r="A255" s="29" t="s">
        <v>1852</v>
      </c>
      <c r="B255" s="8" t="s">
        <v>1853</v>
      </c>
      <c r="C255" s="8" t="s">
        <v>1881</v>
      </c>
      <c r="D255" s="6">
        <v>5056003702897</v>
      </c>
      <c r="E255" s="9" t="s">
        <v>1882</v>
      </c>
      <c r="F255" s="9" t="s">
        <v>1875</v>
      </c>
      <c r="G255" s="31">
        <v>80.916000000000011</v>
      </c>
      <c r="I255" s="2">
        <f>VLOOKUP(C255,[1]Sheet1!$C:$G,5,FALSE)</f>
        <v>67.430000000000007</v>
      </c>
      <c r="J255" s="33">
        <f t="shared" si="4"/>
        <v>0.20000000000000004</v>
      </c>
    </row>
    <row r="256" spans="1:11" x14ac:dyDescent="0.3">
      <c r="A256" s="29" t="s">
        <v>1852</v>
      </c>
      <c r="B256" s="8" t="s">
        <v>1853</v>
      </c>
      <c r="C256" s="8" t="s">
        <v>1883</v>
      </c>
      <c r="D256" s="6">
        <v>5056003706505</v>
      </c>
      <c r="E256" s="9" t="s">
        <v>1884</v>
      </c>
      <c r="F256" s="9" t="s">
        <v>1885</v>
      </c>
      <c r="G256" s="31">
        <v>209.49300000000002</v>
      </c>
      <c r="I256" s="2">
        <f>VLOOKUP(C256,[1]Sheet1!$C:$G,5,FALSE)</f>
        <v>155.18</v>
      </c>
      <c r="J256" s="33">
        <f t="shared" si="4"/>
        <v>0.35000000000000009</v>
      </c>
    </row>
    <row r="257" spans="1:11" s="47" customFormat="1" x14ac:dyDescent="0.3">
      <c r="A257" s="42" t="s">
        <v>1852</v>
      </c>
      <c r="B257" s="43" t="s">
        <v>1853</v>
      </c>
      <c r="C257" s="43" t="s">
        <v>1886</v>
      </c>
      <c r="D257" s="44">
        <v>5056003709520</v>
      </c>
      <c r="E257" s="45" t="s">
        <v>1887</v>
      </c>
      <c r="F257" s="45" t="s">
        <v>1888</v>
      </c>
      <c r="G257" s="46" t="s">
        <v>2336</v>
      </c>
      <c r="I257" s="47">
        <f>VLOOKUP(C257,[1]Sheet1!$C:$G,5,FALSE)</f>
        <v>130.83000000000001</v>
      </c>
      <c r="J257" s="48"/>
      <c r="K257" s="47" t="s">
        <v>2343</v>
      </c>
    </row>
    <row r="258" spans="1:11" s="54" customFormat="1" x14ac:dyDescent="0.3">
      <c r="A258" s="49" t="s">
        <v>1852</v>
      </c>
      <c r="B258" s="50" t="s">
        <v>1853</v>
      </c>
      <c r="C258" s="50" t="s">
        <v>2342</v>
      </c>
      <c r="D258" s="51">
        <v>5056003784169</v>
      </c>
      <c r="E258" s="52" t="s">
        <v>2349</v>
      </c>
      <c r="F258" s="52" t="s">
        <v>1859</v>
      </c>
      <c r="G258" s="53">
        <v>215.86950000000002</v>
      </c>
      <c r="J258" s="55"/>
      <c r="K258" s="54" t="s">
        <v>2337</v>
      </c>
    </row>
    <row r="259" spans="1:11" x14ac:dyDescent="0.3">
      <c r="A259" s="26" t="s">
        <v>828</v>
      </c>
      <c r="B259" s="8" t="s">
        <v>93</v>
      </c>
      <c r="C259" s="8" t="s">
        <v>2194</v>
      </c>
      <c r="D259" s="6">
        <v>5056003781038</v>
      </c>
      <c r="E259" s="9" t="s">
        <v>2196</v>
      </c>
      <c r="F259" s="12" t="s">
        <v>1684</v>
      </c>
      <c r="G259" s="31">
        <v>1.8705000000000001</v>
      </c>
      <c r="I259" s="2">
        <f>VLOOKUP(C259,[1]Sheet1!$C:$G,5,FALSE)</f>
        <v>1.29</v>
      </c>
      <c r="J259" s="33">
        <f t="shared" si="4"/>
        <v>0.45</v>
      </c>
    </row>
    <row r="260" spans="1:11" x14ac:dyDescent="0.3">
      <c r="A260" s="26" t="s">
        <v>828</v>
      </c>
      <c r="B260" s="8" t="s">
        <v>93</v>
      </c>
      <c r="C260" s="8" t="s">
        <v>2195</v>
      </c>
      <c r="D260" s="6">
        <v>5056003781182</v>
      </c>
      <c r="E260" s="9" t="s">
        <v>2197</v>
      </c>
      <c r="F260" s="12" t="s">
        <v>1684</v>
      </c>
      <c r="G260" s="31">
        <v>1.8900000000000001</v>
      </c>
      <c r="I260" s="2">
        <f>VLOOKUP(C260,[1]Sheet1!$C:$G,5,FALSE)</f>
        <v>1.8</v>
      </c>
      <c r="J260" s="33">
        <f t="shared" si="4"/>
        <v>5.0000000000000044E-2</v>
      </c>
    </row>
    <row r="261" spans="1:11" x14ac:dyDescent="0.3">
      <c r="A261" s="7" t="s">
        <v>4</v>
      </c>
      <c r="B261" s="8" t="s">
        <v>53</v>
      </c>
      <c r="C261" s="8" t="s">
        <v>54</v>
      </c>
      <c r="D261" s="6">
        <v>5056003704259</v>
      </c>
      <c r="E261" s="9" t="s">
        <v>55</v>
      </c>
      <c r="F261" s="9" t="s">
        <v>56</v>
      </c>
      <c r="G261" s="31" t="s">
        <v>92</v>
      </c>
      <c r="I261" s="2" t="str">
        <f>VLOOKUP(C261,[1]Sheet1!$C:$G,5,FALSE)</f>
        <v>POA</v>
      </c>
      <c r="J261" s="33"/>
    </row>
    <row r="262" spans="1:11" x14ac:dyDescent="0.3">
      <c r="A262" s="7" t="s">
        <v>4</v>
      </c>
      <c r="B262" s="8" t="s">
        <v>53</v>
      </c>
      <c r="C262" s="8" t="s">
        <v>57</v>
      </c>
      <c r="D262" s="6">
        <v>5056003704693</v>
      </c>
      <c r="E262" s="9" t="s">
        <v>58</v>
      </c>
      <c r="F262" s="9" t="s">
        <v>56</v>
      </c>
      <c r="G262" s="31" t="s">
        <v>92</v>
      </c>
      <c r="I262" s="2" t="str">
        <f>VLOOKUP(C262,[1]Sheet1!$C:$G,5,FALSE)</f>
        <v>POA</v>
      </c>
      <c r="J262" s="33"/>
    </row>
    <row r="263" spans="1:11" x14ac:dyDescent="0.3">
      <c r="A263" s="7" t="s">
        <v>4</v>
      </c>
      <c r="B263" s="8" t="s">
        <v>53</v>
      </c>
      <c r="C263" s="8" t="s">
        <v>59</v>
      </c>
      <c r="D263" s="6">
        <v>5056003707762</v>
      </c>
      <c r="E263" s="9" t="s">
        <v>60</v>
      </c>
      <c r="F263" s="9" t="s">
        <v>56</v>
      </c>
      <c r="G263" s="31" t="s">
        <v>92</v>
      </c>
      <c r="I263" s="2" t="str">
        <f>VLOOKUP(C263,[1]Sheet1!$C:$G,5,FALSE)</f>
        <v>POA</v>
      </c>
      <c r="J263" s="33"/>
    </row>
    <row r="264" spans="1:11" x14ac:dyDescent="0.3">
      <c r="A264" s="7" t="s">
        <v>4</v>
      </c>
      <c r="B264" s="8" t="s">
        <v>93</v>
      </c>
      <c r="C264" s="8" t="s">
        <v>94</v>
      </c>
      <c r="D264" s="6">
        <v>5056003704846</v>
      </c>
      <c r="E264" s="9" t="s">
        <v>95</v>
      </c>
      <c r="F264" s="9" t="s">
        <v>56</v>
      </c>
      <c r="G264" s="31" t="s">
        <v>92</v>
      </c>
      <c r="I264" s="2" t="str">
        <f>VLOOKUP(C264,[1]Sheet1!$C:$G,5,FALSE)</f>
        <v>POA</v>
      </c>
      <c r="J264" s="33"/>
    </row>
    <row r="265" spans="1:11" x14ac:dyDescent="0.3">
      <c r="A265" s="7" t="s">
        <v>4</v>
      </c>
      <c r="B265" s="8" t="s">
        <v>5</v>
      </c>
      <c r="C265" s="8" t="s">
        <v>6</v>
      </c>
      <c r="D265" s="6">
        <v>5056003703436</v>
      </c>
      <c r="E265" s="9" t="s">
        <v>7</v>
      </c>
      <c r="F265" s="9" t="s">
        <v>8</v>
      </c>
      <c r="G265" s="31" t="s">
        <v>92</v>
      </c>
      <c r="I265" s="2" t="str">
        <f>VLOOKUP(C265,[1]Sheet1!$C:$G,5,FALSE)</f>
        <v>POA</v>
      </c>
      <c r="J265" s="33"/>
    </row>
    <row r="266" spans="1:11" x14ac:dyDescent="0.3">
      <c r="A266" s="7" t="s">
        <v>4</v>
      </c>
      <c r="B266" s="8" t="s">
        <v>5</v>
      </c>
      <c r="C266" s="8" t="s">
        <v>9</v>
      </c>
      <c r="D266" s="6">
        <v>5056003706710</v>
      </c>
      <c r="E266" s="9" t="s">
        <v>10</v>
      </c>
      <c r="F266" s="9" t="s">
        <v>11</v>
      </c>
      <c r="G266" s="31" t="s">
        <v>92</v>
      </c>
      <c r="I266" s="2" t="str">
        <f>VLOOKUP(C266,[1]Sheet1!$C:$G,5,FALSE)</f>
        <v>POA</v>
      </c>
      <c r="J266" s="33"/>
    </row>
    <row r="267" spans="1:11" x14ac:dyDescent="0.3">
      <c r="A267" s="7" t="s">
        <v>4</v>
      </c>
      <c r="B267" s="8" t="s">
        <v>5</v>
      </c>
      <c r="C267" s="8" t="s">
        <v>12</v>
      </c>
      <c r="D267" s="6">
        <v>5056003706727</v>
      </c>
      <c r="E267" s="9" t="s">
        <v>13</v>
      </c>
      <c r="F267" s="9" t="s">
        <v>14</v>
      </c>
      <c r="G267" s="31" t="s">
        <v>92</v>
      </c>
      <c r="I267" s="2" t="str">
        <f>VLOOKUP(C267,[1]Sheet1!$C:$G,5,FALSE)</f>
        <v>POA</v>
      </c>
      <c r="J267" s="33"/>
    </row>
    <row r="268" spans="1:11" x14ac:dyDescent="0.3">
      <c r="A268" s="7" t="s">
        <v>4</v>
      </c>
      <c r="B268" s="8" t="s">
        <v>192</v>
      </c>
      <c r="C268" s="8" t="s">
        <v>193</v>
      </c>
      <c r="D268" s="6">
        <v>5056003706772</v>
      </c>
      <c r="E268" s="9" t="s">
        <v>194</v>
      </c>
      <c r="F268" s="9" t="s">
        <v>195</v>
      </c>
      <c r="G268" s="31" t="s">
        <v>92</v>
      </c>
      <c r="I268" s="2" t="str">
        <f>VLOOKUP(C268,[1]Sheet1!$C:$G,5,FALSE)</f>
        <v>POA</v>
      </c>
      <c r="J268" s="33"/>
    </row>
    <row r="269" spans="1:11" x14ac:dyDescent="0.3">
      <c r="A269" s="7" t="s">
        <v>4</v>
      </c>
      <c r="B269" s="8" t="s">
        <v>192</v>
      </c>
      <c r="C269" s="8" t="s">
        <v>196</v>
      </c>
      <c r="D269" s="6">
        <v>5056003706765</v>
      </c>
      <c r="E269" s="9" t="s">
        <v>194</v>
      </c>
      <c r="F269" s="9" t="s">
        <v>14</v>
      </c>
      <c r="G269" s="31" t="s">
        <v>92</v>
      </c>
      <c r="I269" s="2" t="str">
        <f>VLOOKUP(C269,[1]Sheet1!$C:$G,5,FALSE)</f>
        <v>POA</v>
      </c>
      <c r="J269" s="33"/>
    </row>
    <row r="270" spans="1:11" x14ac:dyDescent="0.3">
      <c r="A270" s="7" t="s">
        <v>4</v>
      </c>
      <c r="B270" s="8" t="s">
        <v>53</v>
      </c>
      <c r="C270" s="8" t="s">
        <v>61</v>
      </c>
      <c r="D270" s="6">
        <v>5056003706512</v>
      </c>
      <c r="E270" s="9" t="s">
        <v>62</v>
      </c>
      <c r="F270" s="9" t="s">
        <v>63</v>
      </c>
      <c r="G270" s="31" t="s">
        <v>92</v>
      </c>
      <c r="I270" s="2" t="str">
        <f>VLOOKUP(C270,[1]Sheet1!$C:$G,5,FALSE)</f>
        <v>POA</v>
      </c>
      <c r="J270" s="33"/>
    </row>
    <row r="271" spans="1:11" x14ac:dyDescent="0.3">
      <c r="A271" s="7" t="s">
        <v>4</v>
      </c>
      <c r="B271" s="8" t="s">
        <v>5</v>
      </c>
      <c r="C271" s="8" t="s">
        <v>15</v>
      </c>
      <c r="D271" s="6">
        <v>5056003703399</v>
      </c>
      <c r="E271" s="9" t="s">
        <v>16</v>
      </c>
      <c r="F271" s="9" t="s">
        <v>17</v>
      </c>
      <c r="G271" s="31" t="s">
        <v>92</v>
      </c>
      <c r="I271" s="2" t="str">
        <f>VLOOKUP(C271,[1]Sheet1!$C:$G,5,FALSE)</f>
        <v>POA</v>
      </c>
      <c r="J271" s="33"/>
    </row>
    <row r="272" spans="1:11" x14ac:dyDescent="0.3">
      <c r="A272" s="7" t="s">
        <v>4</v>
      </c>
      <c r="B272" s="8" t="s">
        <v>27</v>
      </c>
      <c r="C272" s="8" t="s">
        <v>28</v>
      </c>
      <c r="D272" s="6">
        <v>5056003707250</v>
      </c>
      <c r="E272" s="9" t="s">
        <v>29</v>
      </c>
      <c r="F272" s="9" t="s">
        <v>30</v>
      </c>
      <c r="G272" s="31" t="s">
        <v>92</v>
      </c>
      <c r="I272" s="2" t="str">
        <f>VLOOKUP(C272,[1]Sheet1!$C:$G,5,FALSE)</f>
        <v>POA</v>
      </c>
      <c r="J272" s="33"/>
    </row>
    <row r="273" spans="1:10" x14ac:dyDescent="0.3">
      <c r="A273" s="7" t="s">
        <v>4</v>
      </c>
      <c r="B273" s="8" t="s">
        <v>27</v>
      </c>
      <c r="C273" s="8" t="s">
        <v>31</v>
      </c>
      <c r="D273" s="6">
        <v>5056003707267</v>
      </c>
      <c r="E273" s="9" t="s">
        <v>29</v>
      </c>
      <c r="F273" s="9" t="s">
        <v>32</v>
      </c>
      <c r="G273" s="31" t="s">
        <v>92</v>
      </c>
      <c r="I273" s="2" t="str">
        <f>VLOOKUP(C273,[1]Sheet1!$C:$G,5,FALSE)</f>
        <v>POA</v>
      </c>
      <c r="J273" s="33"/>
    </row>
    <row r="274" spans="1:10" x14ac:dyDescent="0.3">
      <c r="A274" s="7" t="s">
        <v>4</v>
      </c>
      <c r="B274" s="8" t="s">
        <v>27</v>
      </c>
      <c r="C274" s="8" t="s">
        <v>33</v>
      </c>
      <c r="D274" s="6">
        <v>5056003707281</v>
      </c>
      <c r="E274" s="9" t="s">
        <v>29</v>
      </c>
      <c r="F274" s="9" t="s">
        <v>11</v>
      </c>
      <c r="G274" s="31" t="s">
        <v>92</v>
      </c>
      <c r="I274" s="2" t="str">
        <f>VLOOKUP(C274,[1]Sheet1!$C:$G,5,FALSE)</f>
        <v>POA</v>
      </c>
      <c r="J274" s="33"/>
    </row>
    <row r="275" spans="1:10" x14ac:dyDescent="0.3">
      <c r="A275" s="7" t="s">
        <v>4</v>
      </c>
      <c r="B275" s="8" t="s">
        <v>27</v>
      </c>
      <c r="C275" s="8" t="s">
        <v>34</v>
      </c>
      <c r="D275" s="6">
        <v>5056003707274</v>
      </c>
      <c r="E275" s="9" t="s">
        <v>29</v>
      </c>
      <c r="F275" s="9" t="s">
        <v>14</v>
      </c>
      <c r="G275" s="31" t="s">
        <v>92</v>
      </c>
      <c r="I275" s="2" t="str">
        <f>VLOOKUP(C275,[1]Sheet1!$C:$G,5,FALSE)</f>
        <v>POA</v>
      </c>
      <c r="J275" s="33"/>
    </row>
    <row r="276" spans="1:10" x14ac:dyDescent="0.3">
      <c r="A276" s="7" t="s">
        <v>4</v>
      </c>
      <c r="B276" s="8" t="s">
        <v>27</v>
      </c>
      <c r="C276" s="8" t="s">
        <v>35</v>
      </c>
      <c r="D276" s="6">
        <v>5056003707298</v>
      </c>
      <c r="E276" s="9" t="s">
        <v>29</v>
      </c>
      <c r="F276" s="9" t="s">
        <v>36</v>
      </c>
      <c r="G276" s="31" t="s">
        <v>92</v>
      </c>
      <c r="I276" s="2" t="str">
        <f>VLOOKUP(C276,[1]Sheet1!$C:$G,5,FALSE)</f>
        <v>POA</v>
      </c>
      <c r="J276" s="33"/>
    </row>
    <row r="277" spans="1:10" x14ac:dyDescent="0.3">
      <c r="A277" s="7" t="s">
        <v>4</v>
      </c>
      <c r="B277" s="8" t="s">
        <v>220</v>
      </c>
      <c r="C277" s="8" t="s">
        <v>221</v>
      </c>
      <c r="D277" s="6">
        <v>5056003706741</v>
      </c>
      <c r="E277" s="9" t="s">
        <v>222</v>
      </c>
      <c r="F277" s="9" t="s">
        <v>223</v>
      </c>
      <c r="G277" s="31" t="s">
        <v>92</v>
      </c>
      <c r="I277" s="2" t="str">
        <f>VLOOKUP(C277,[1]Sheet1!$C:$G,5,FALSE)</f>
        <v>POA</v>
      </c>
      <c r="J277" s="33"/>
    </row>
    <row r="278" spans="1:10" x14ac:dyDescent="0.3">
      <c r="A278" s="7" t="s">
        <v>4</v>
      </c>
      <c r="B278" s="8" t="s">
        <v>93</v>
      </c>
      <c r="C278" s="8" t="s">
        <v>96</v>
      </c>
      <c r="D278" s="6">
        <v>5056003706734</v>
      </c>
      <c r="E278" s="9" t="s">
        <v>97</v>
      </c>
      <c r="F278" s="9" t="s">
        <v>98</v>
      </c>
      <c r="G278" s="31" t="s">
        <v>92</v>
      </c>
      <c r="I278" s="2" t="str">
        <f>VLOOKUP(C278,[1]Sheet1!$C:$G,5,FALSE)</f>
        <v>POA</v>
      </c>
      <c r="J278" s="33"/>
    </row>
    <row r="279" spans="1:10" x14ac:dyDescent="0.3">
      <c r="A279" s="7" t="s">
        <v>4</v>
      </c>
      <c r="B279" s="8" t="s">
        <v>5</v>
      </c>
      <c r="C279" s="8" t="s">
        <v>18</v>
      </c>
      <c r="D279" s="6">
        <v>5056003703405</v>
      </c>
      <c r="E279" s="9" t="s">
        <v>19</v>
      </c>
      <c r="F279" s="9" t="s">
        <v>20</v>
      </c>
      <c r="G279" s="31" t="s">
        <v>92</v>
      </c>
      <c r="I279" s="2" t="str">
        <f>VLOOKUP(C279,[1]Sheet1!$C:$G,5,FALSE)</f>
        <v>POA</v>
      </c>
      <c r="J279" s="33"/>
    </row>
    <row r="280" spans="1:10" x14ac:dyDescent="0.3">
      <c r="A280" s="7" t="s">
        <v>4</v>
      </c>
      <c r="B280" s="8" t="s">
        <v>238</v>
      </c>
      <c r="C280" s="8" t="s">
        <v>239</v>
      </c>
      <c r="D280" s="6">
        <v>5056003706611</v>
      </c>
      <c r="E280" s="9" t="s">
        <v>240</v>
      </c>
      <c r="F280" s="9" t="s">
        <v>241</v>
      </c>
      <c r="G280" s="31" t="s">
        <v>92</v>
      </c>
      <c r="I280" s="2" t="str">
        <f>VLOOKUP(C280,[1]Sheet1!$C:$G,5,FALSE)</f>
        <v>POA</v>
      </c>
      <c r="J280" s="33"/>
    </row>
    <row r="281" spans="1:10" x14ac:dyDescent="0.3">
      <c r="A281" s="7" t="s">
        <v>4</v>
      </c>
      <c r="B281" s="8" t="s">
        <v>238</v>
      </c>
      <c r="C281" s="8" t="s">
        <v>242</v>
      </c>
      <c r="D281" s="6">
        <v>5056003707106</v>
      </c>
      <c r="E281" s="9" t="s">
        <v>243</v>
      </c>
      <c r="F281" s="9" t="s">
        <v>244</v>
      </c>
      <c r="G281" s="31" t="s">
        <v>92</v>
      </c>
      <c r="I281" s="2" t="str">
        <f>VLOOKUP(C281,[1]Sheet1!$C:$G,5,FALSE)</f>
        <v>POA</v>
      </c>
      <c r="J281" s="33"/>
    </row>
    <row r="282" spans="1:10" x14ac:dyDescent="0.3">
      <c r="A282" s="7" t="s">
        <v>4</v>
      </c>
      <c r="B282" s="8" t="s">
        <v>238</v>
      </c>
      <c r="C282" s="8" t="s">
        <v>245</v>
      </c>
      <c r="D282" s="6">
        <v>5056003707427</v>
      </c>
      <c r="E282" s="9" t="s">
        <v>246</v>
      </c>
      <c r="F282" s="9" t="s">
        <v>247</v>
      </c>
      <c r="G282" s="31" t="s">
        <v>92</v>
      </c>
      <c r="I282" s="2" t="str">
        <f>VLOOKUP(C282,[1]Sheet1!$C:$G,5,FALSE)</f>
        <v>POA</v>
      </c>
      <c r="J282" s="33"/>
    </row>
    <row r="283" spans="1:10" x14ac:dyDescent="0.3">
      <c r="A283" s="7" t="s">
        <v>4</v>
      </c>
      <c r="B283" s="8" t="s">
        <v>238</v>
      </c>
      <c r="C283" s="8" t="s">
        <v>248</v>
      </c>
      <c r="D283" s="6">
        <v>5056003707434</v>
      </c>
      <c r="E283" s="9" t="s">
        <v>249</v>
      </c>
      <c r="F283" s="9" t="s">
        <v>250</v>
      </c>
      <c r="G283" s="31" t="s">
        <v>92</v>
      </c>
      <c r="I283" s="2" t="str">
        <f>VLOOKUP(C283,[1]Sheet1!$C:$G,5,FALSE)</f>
        <v>POA</v>
      </c>
      <c r="J283" s="33"/>
    </row>
    <row r="284" spans="1:10" x14ac:dyDescent="0.3">
      <c r="A284" s="7" t="s">
        <v>4</v>
      </c>
      <c r="B284" s="8" t="s">
        <v>220</v>
      </c>
      <c r="C284" s="8" t="s">
        <v>224</v>
      </c>
      <c r="D284" s="6">
        <v>5056003708110</v>
      </c>
      <c r="E284" s="9" t="s">
        <v>225</v>
      </c>
      <c r="F284" s="9" t="s">
        <v>226</v>
      </c>
      <c r="G284" s="31" t="s">
        <v>92</v>
      </c>
      <c r="I284" s="2" t="str">
        <f>VLOOKUP(C284,[1]Sheet1!$C:$G,5,FALSE)</f>
        <v>POA</v>
      </c>
      <c r="J284" s="33"/>
    </row>
    <row r="285" spans="1:10" x14ac:dyDescent="0.3">
      <c r="A285" s="7" t="s">
        <v>4</v>
      </c>
      <c r="B285" s="8" t="s">
        <v>220</v>
      </c>
      <c r="C285" s="8" t="s">
        <v>227</v>
      </c>
      <c r="D285" s="6">
        <v>5056003708127</v>
      </c>
      <c r="E285" s="9" t="s">
        <v>225</v>
      </c>
      <c r="F285" s="9" t="s">
        <v>14</v>
      </c>
      <c r="G285" s="31" t="s">
        <v>92</v>
      </c>
      <c r="I285" s="2" t="str">
        <f>VLOOKUP(C285,[1]Sheet1!$C:$G,5,FALSE)</f>
        <v>POA</v>
      </c>
      <c r="J285" s="33"/>
    </row>
    <row r="286" spans="1:10" x14ac:dyDescent="0.3">
      <c r="A286" s="7" t="s">
        <v>4</v>
      </c>
      <c r="B286" s="8" t="s">
        <v>220</v>
      </c>
      <c r="C286" s="8" t="s">
        <v>228</v>
      </c>
      <c r="D286" s="6">
        <v>5056003708134</v>
      </c>
      <c r="E286" s="9" t="s">
        <v>225</v>
      </c>
      <c r="F286" s="9" t="s">
        <v>36</v>
      </c>
      <c r="G286" s="31" t="s">
        <v>92</v>
      </c>
      <c r="I286" s="2" t="str">
        <f>VLOOKUP(C286,[1]Sheet1!$C:$G,5,FALSE)</f>
        <v>POA</v>
      </c>
      <c r="J286" s="33"/>
    </row>
    <row r="287" spans="1:10" x14ac:dyDescent="0.3">
      <c r="A287" s="7" t="s">
        <v>4</v>
      </c>
      <c r="B287" s="8" t="s">
        <v>5</v>
      </c>
      <c r="C287" s="8" t="s">
        <v>21</v>
      </c>
      <c r="D287" s="6">
        <v>5056003703412</v>
      </c>
      <c r="E287" s="9" t="s">
        <v>22</v>
      </c>
      <c r="F287" s="9" t="s">
        <v>23</v>
      </c>
      <c r="G287" s="31" t="s">
        <v>92</v>
      </c>
      <c r="I287" s="2" t="str">
        <f>VLOOKUP(C287,[1]Sheet1!$C:$G,5,FALSE)</f>
        <v>POA</v>
      </c>
      <c r="J287" s="33"/>
    </row>
    <row r="288" spans="1:10" x14ac:dyDescent="0.3">
      <c r="A288" s="7" t="s">
        <v>4</v>
      </c>
      <c r="B288" s="8" t="s">
        <v>93</v>
      </c>
      <c r="C288" s="8" t="s">
        <v>99</v>
      </c>
      <c r="D288" s="6">
        <v>5056003708332</v>
      </c>
      <c r="E288" s="9" t="s">
        <v>100</v>
      </c>
      <c r="F288" s="9" t="s">
        <v>101</v>
      </c>
      <c r="G288" s="31" t="s">
        <v>92</v>
      </c>
      <c r="I288" s="2" t="str">
        <f>VLOOKUP(C288,[1]Sheet1!$C:$G,5,FALSE)</f>
        <v>POA</v>
      </c>
      <c r="J288" s="33"/>
    </row>
    <row r="289" spans="1:10" x14ac:dyDescent="0.3">
      <c r="A289" s="7" t="s">
        <v>4</v>
      </c>
      <c r="B289" s="8" t="s">
        <v>93</v>
      </c>
      <c r="C289" s="8" t="s">
        <v>102</v>
      </c>
      <c r="D289" s="6">
        <v>5056003708349</v>
      </c>
      <c r="E289" s="9" t="s">
        <v>103</v>
      </c>
      <c r="F289" s="9" t="s">
        <v>101</v>
      </c>
      <c r="G289" s="31" t="s">
        <v>92</v>
      </c>
      <c r="I289" s="2" t="str">
        <f>VLOOKUP(C289,[1]Sheet1!$C:$G,5,FALSE)</f>
        <v>POA</v>
      </c>
      <c r="J289" s="33"/>
    </row>
    <row r="290" spans="1:10" x14ac:dyDescent="0.3">
      <c r="A290" s="7" t="s">
        <v>4</v>
      </c>
      <c r="B290" s="8" t="s">
        <v>5</v>
      </c>
      <c r="C290" s="8" t="s">
        <v>24</v>
      </c>
      <c r="D290" s="6">
        <v>5056003703429</v>
      </c>
      <c r="E290" s="9" t="s">
        <v>25</v>
      </c>
      <c r="F290" s="9" t="s">
        <v>26</v>
      </c>
      <c r="G290" s="31" t="s">
        <v>92</v>
      </c>
      <c r="I290" s="2" t="str">
        <f>VLOOKUP(C290,[1]Sheet1!$C:$G,5,FALSE)</f>
        <v>POA</v>
      </c>
      <c r="J290" s="33"/>
    </row>
    <row r="291" spans="1:10" x14ac:dyDescent="0.3">
      <c r="A291" s="7" t="s">
        <v>4</v>
      </c>
      <c r="B291" s="8" t="s">
        <v>192</v>
      </c>
      <c r="C291" s="8" t="s">
        <v>197</v>
      </c>
      <c r="D291" s="6">
        <v>5056003703443</v>
      </c>
      <c r="E291" s="9" t="s">
        <v>194</v>
      </c>
      <c r="F291" s="9" t="s">
        <v>38</v>
      </c>
      <c r="G291" s="31" t="s">
        <v>92</v>
      </c>
      <c r="I291" s="2" t="str">
        <f>VLOOKUP(C291,[1]Sheet1!$C:$G,5,FALSE)</f>
        <v>POA</v>
      </c>
      <c r="J291" s="33"/>
    </row>
    <row r="292" spans="1:10" x14ac:dyDescent="0.3">
      <c r="A292" s="7" t="s">
        <v>4</v>
      </c>
      <c r="B292" s="8" t="s">
        <v>192</v>
      </c>
      <c r="C292" s="8" t="s">
        <v>198</v>
      </c>
      <c r="D292" s="6">
        <v>5056003703375</v>
      </c>
      <c r="E292" s="9" t="s">
        <v>194</v>
      </c>
      <c r="F292" s="9" t="s">
        <v>26</v>
      </c>
      <c r="G292" s="31" t="s">
        <v>92</v>
      </c>
      <c r="I292" s="2" t="str">
        <f>VLOOKUP(C292,[1]Sheet1!$C:$G,5,FALSE)</f>
        <v>POA</v>
      </c>
      <c r="J292" s="33"/>
    </row>
    <row r="293" spans="1:10" x14ac:dyDescent="0.3">
      <c r="A293" s="7" t="s">
        <v>4</v>
      </c>
      <c r="B293" s="8" t="s">
        <v>203</v>
      </c>
      <c r="C293" s="8" t="s">
        <v>204</v>
      </c>
      <c r="D293" s="6">
        <v>5056003706079</v>
      </c>
      <c r="E293" s="9" t="s">
        <v>205</v>
      </c>
      <c r="F293" s="9" t="s">
        <v>148</v>
      </c>
      <c r="G293" s="31" t="s">
        <v>92</v>
      </c>
      <c r="I293" s="2" t="str">
        <f>VLOOKUP(C293,[1]Sheet1!$C:$G,5,FALSE)</f>
        <v>POA</v>
      </c>
      <c r="J293" s="33"/>
    </row>
    <row r="294" spans="1:10" x14ac:dyDescent="0.3">
      <c r="A294" s="7" t="s">
        <v>4</v>
      </c>
      <c r="B294" s="8" t="s">
        <v>203</v>
      </c>
      <c r="C294" s="8" t="s">
        <v>206</v>
      </c>
      <c r="D294" s="6">
        <v>5056003704464</v>
      </c>
      <c r="E294" s="9" t="s">
        <v>205</v>
      </c>
      <c r="F294" s="9" t="s">
        <v>20</v>
      </c>
      <c r="G294" s="31" t="s">
        <v>92</v>
      </c>
      <c r="I294" s="2" t="str">
        <f>VLOOKUP(C294,[1]Sheet1!$C:$G,5,FALSE)</f>
        <v>POA</v>
      </c>
      <c r="J294" s="33"/>
    </row>
    <row r="295" spans="1:10" x14ac:dyDescent="0.3">
      <c r="A295" s="7" t="s">
        <v>4</v>
      </c>
      <c r="B295" s="8" t="s">
        <v>203</v>
      </c>
      <c r="C295" s="8" t="s">
        <v>207</v>
      </c>
      <c r="D295" s="6">
        <v>5056003706055</v>
      </c>
      <c r="E295" s="9" t="s">
        <v>205</v>
      </c>
      <c r="F295" s="9" t="s">
        <v>208</v>
      </c>
      <c r="G295" s="31" t="s">
        <v>92</v>
      </c>
      <c r="I295" s="2" t="str">
        <f>VLOOKUP(C295,[1]Sheet1!$C:$G,5,FALSE)</f>
        <v>POA</v>
      </c>
      <c r="J295" s="33"/>
    </row>
    <row r="296" spans="1:10" x14ac:dyDescent="0.3">
      <c r="A296" s="7" t="s">
        <v>4</v>
      </c>
      <c r="B296" s="8" t="s">
        <v>203</v>
      </c>
      <c r="C296" s="8" t="s">
        <v>209</v>
      </c>
      <c r="D296" s="6">
        <v>5056003705928</v>
      </c>
      <c r="E296" s="9" t="s">
        <v>205</v>
      </c>
      <c r="F296" s="9" t="s">
        <v>210</v>
      </c>
      <c r="G296" s="31" t="s">
        <v>92</v>
      </c>
      <c r="I296" s="2" t="str">
        <f>VLOOKUP(C296,[1]Sheet1!$C:$G,5,FALSE)</f>
        <v>POA</v>
      </c>
      <c r="J296" s="33"/>
    </row>
    <row r="297" spans="1:10" x14ac:dyDescent="0.3">
      <c r="A297" s="7" t="s">
        <v>4</v>
      </c>
      <c r="B297" s="8" t="s">
        <v>93</v>
      </c>
      <c r="C297" s="8" t="s">
        <v>104</v>
      </c>
      <c r="D297" s="6">
        <v>5056003703894</v>
      </c>
      <c r="E297" s="9" t="s">
        <v>105</v>
      </c>
      <c r="F297" s="9" t="s">
        <v>56</v>
      </c>
      <c r="G297" s="31" t="s">
        <v>92</v>
      </c>
      <c r="I297" s="2" t="str">
        <f>VLOOKUP(C297,[1]Sheet1!$C:$G,5,FALSE)</f>
        <v>POA</v>
      </c>
      <c r="J297" s="33"/>
    </row>
    <row r="298" spans="1:10" x14ac:dyDescent="0.3">
      <c r="A298" s="7" t="s">
        <v>4</v>
      </c>
      <c r="B298" s="8" t="s">
        <v>93</v>
      </c>
      <c r="C298" s="8" t="s">
        <v>106</v>
      </c>
      <c r="D298" s="6">
        <v>5056003703870</v>
      </c>
      <c r="E298" s="9" t="s">
        <v>107</v>
      </c>
      <c r="F298" s="9" t="s">
        <v>56</v>
      </c>
      <c r="G298" s="31" t="s">
        <v>92</v>
      </c>
      <c r="I298" s="2" t="str">
        <f>VLOOKUP(C298,[1]Sheet1!$C:$G,5,FALSE)</f>
        <v>POA</v>
      </c>
      <c r="J298" s="33"/>
    </row>
    <row r="299" spans="1:10" x14ac:dyDescent="0.3">
      <c r="A299" s="7" t="s">
        <v>4</v>
      </c>
      <c r="B299" s="8" t="s">
        <v>53</v>
      </c>
      <c r="C299" s="8" t="s">
        <v>64</v>
      </c>
      <c r="D299" s="6">
        <v>5056003704648</v>
      </c>
      <c r="E299" s="9" t="s">
        <v>62</v>
      </c>
      <c r="F299" s="9" t="s">
        <v>65</v>
      </c>
      <c r="G299" s="31" t="s">
        <v>92</v>
      </c>
      <c r="I299" s="2" t="str">
        <f>VLOOKUP(C299,[1]Sheet1!$C:$G,5,FALSE)</f>
        <v>POA</v>
      </c>
      <c r="J299" s="33"/>
    </row>
    <row r="300" spans="1:10" x14ac:dyDescent="0.3">
      <c r="A300" s="7" t="s">
        <v>4</v>
      </c>
      <c r="B300" s="8" t="s">
        <v>27</v>
      </c>
      <c r="C300" s="8" t="s">
        <v>37</v>
      </c>
      <c r="D300" s="6">
        <v>5056003703832</v>
      </c>
      <c r="E300" s="9" t="s">
        <v>29</v>
      </c>
      <c r="F300" s="9" t="s">
        <v>38</v>
      </c>
      <c r="G300" s="31" t="s">
        <v>92</v>
      </c>
      <c r="I300" s="2" t="str">
        <f>VLOOKUP(C300,[1]Sheet1!$C:$G,5,FALSE)</f>
        <v>POA</v>
      </c>
      <c r="J300" s="33"/>
    </row>
    <row r="301" spans="1:10" x14ac:dyDescent="0.3">
      <c r="A301" s="7" t="s">
        <v>4</v>
      </c>
      <c r="B301" s="8" t="s">
        <v>27</v>
      </c>
      <c r="C301" s="8" t="s">
        <v>39</v>
      </c>
      <c r="D301" s="6">
        <v>5056003703825</v>
      </c>
      <c r="E301" s="9" t="s">
        <v>29</v>
      </c>
      <c r="F301" s="9" t="s">
        <v>40</v>
      </c>
      <c r="G301" s="31" t="s">
        <v>92</v>
      </c>
      <c r="I301" s="2" t="str">
        <f>VLOOKUP(C301,[1]Sheet1!$C:$G,5,FALSE)</f>
        <v>POA</v>
      </c>
      <c r="J301" s="33"/>
    </row>
    <row r="302" spans="1:10" x14ac:dyDescent="0.3">
      <c r="A302" s="7" t="s">
        <v>4</v>
      </c>
      <c r="B302" s="8" t="s">
        <v>27</v>
      </c>
      <c r="C302" s="8" t="s">
        <v>41</v>
      </c>
      <c r="D302" s="6">
        <v>5056003703818</v>
      </c>
      <c r="E302" s="9" t="s">
        <v>29</v>
      </c>
      <c r="F302" s="9" t="s">
        <v>42</v>
      </c>
      <c r="G302" s="31" t="s">
        <v>92</v>
      </c>
      <c r="I302" s="2" t="str">
        <f>VLOOKUP(C302,[1]Sheet1!$C:$G,5,FALSE)</f>
        <v>POA</v>
      </c>
      <c r="J302" s="33"/>
    </row>
    <row r="303" spans="1:10" x14ac:dyDescent="0.3">
      <c r="A303" s="7" t="s">
        <v>4</v>
      </c>
      <c r="B303" s="8" t="s">
        <v>27</v>
      </c>
      <c r="C303" s="8" t="s">
        <v>43</v>
      </c>
      <c r="D303" s="6">
        <v>5056003703801</v>
      </c>
      <c r="E303" s="9" t="s">
        <v>29</v>
      </c>
      <c r="F303" s="9" t="s">
        <v>44</v>
      </c>
      <c r="G303" s="31" t="s">
        <v>92</v>
      </c>
      <c r="I303" s="2" t="str">
        <f>VLOOKUP(C303,[1]Sheet1!$C:$G,5,FALSE)</f>
        <v>POA</v>
      </c>
      <c r="J303" s="33"/>
    </row>
    <row r="304" spans="1:10" x14ac:dyDescent="0.3">
      <c r="A304" s="7" t="s">
        <v>4</v>
      </c>
      <c r="B304" s="8" t="s">
        <v>27</v>
      </c>
      <c r="C304" s="8" t="s">
        <v>45</v>
      </c>
      <c r="D304" s="6">
        <v>5056003703795</v>
      </c>
      <c r="E304" s="9" t="s">
        <v>29</v>
      </c>
      <c r="F304" s="9" t="s">
        <v>20</v>
      </c>
      <c r="G304" s="31" t="s">
        <v>92</v>
      </c>
      <c r="I304" s="2" t="str">
        <f>VLOOKUP(C304,[1]Sheet1!$C:$G,5,FALSE)</f>
        <v>POA</v>
      </c>
      <c r="J304" s="33"/>
    </row>
    <row r="305" spans="1:10" x14ac:dyDescent="0.3">
      <c r="A305" s="7" t="s">
        <v>4</v>
      </c>
      <c r="B305" s="8" t="s">
        <v>220</v>
      </c>
      <c r="C305" s="8" t="s">
        <v>229</v>
      </c>
      <c r="D305" s="6">
        <v>5056003703788</v>
      </c>
      <c r="E305" s="9" t="s">
        <v>230</v>
      </c>
      <c r="F305" s="9" t="s">
        <v>231</v>
      </c>
      <c r="G305" s="31" t="s">
        <v>92</v>
      </c>
      <c r="I305" s="2" t="str">
        <f>VLOOKUP(C305,[1]Sheet1!$C:$G,5,FALSE)</f>
        <v>POA</v>
      </c>
      <c r="J305" s="33"/>
    </row>
    <row r="306" spans="1:10" x14ac:dyDescent="0.3">
      <c r="A306" s="7" t="s">
        <v>4</v>
      </c>
      <c r="B306" s="8" t="s">
        <v>220</v>
      </c>
      <c r="C306" s="8" t="s">
        <v>232</v>
      </c>
      <c r="D306" s="6">
        <v>5056003703771</v>
      </c>
      <c r="E306" s="9" t="s">
        <v>233</v>
      </c>
      <c r="F306" s="9" t="s">
        <v>234</v>
      </c>
      <c r="G306" s="31" t="s">
        <v>92</v>
      </c>
      <c r="I306" s="2" t="str">
        <f>VLOOKUP(C306,[1]Sheet1!$C:$G,5,FALSE)</f>
        <v>POA</v>
      </c>
      <c r="J306" s="33"/>
    </row>
    <row r="307" spans="1:10" x14ac:dyDescent="0.3">
      <c r="A307" s="7" t="s">
        <v>4</v>
      </c>
      <c r="B307" s="8" t="s">
        <v>93</v>
      </c>
      <c r="C307" s="8" t="s">
        <v>108</v>
      </c>
      <c r="D307" s="6">
        <v>5056003704709</v>
      </c>
      <c r="E307" s="9" t="s">
        <v>109</v>
      </c>
      <c r="F307" s="9" t="s">
        <v>110</v>
      </c>
      <c r="G307" s="31" t="s">
        <v>92</v>
      </c>
      <c r="I307" s="2" t="str">
        <f>VLOOKUP(C307,[1]Sheet1!$C:$G,5,FALSE)</f>
        <v>POA</v>
      </c>
      <c r="J307" s="33"/>
    </row>
    <row r="308" spans="1:10" x14ac:dyDescent="0.3">
      <c r="A308" s="7" t="s">
        <v>4</v>
      </c>
      <c r="B308" s="8" t="s">
        <v>93</v>
      </c>
      <c r="C308" s="8" t="s">
        <v>111</v>
      </c>
      <c r="D308" s="6">
        <v>5056003704716</v>
      </c>
      <c r="E308" s="9" t="s">
        <v>112</v>
      </c>
      <c r="F308" s="9" t="s">
        <v>113</v>
      </c>
      <c r="G308" s="31" t="s">
        <v>92</v>
      </c>
      <c r="I308" s="2" t="str">
        <f>VLOOKUP(C308,[1]Sheet1!$C:$G,5,FALSE)</f>
        <v>POA</v>
      </c>
      <c r="J308" s="33"/>
    </row>
    <row r="309" spans="1:10" x14ac:dyDescent="0.3">
      <c r="A309" s="7" t="s">
        <v>4</v>
      </c>
      <c r="B309" s="8" t="s">
        <v>238</v>
      </c>
      <c r="C309" s="8" t="s">
        <v>251</v>
      </c>
      <c r="D309" s="6">
        <v>5056003704723</v>
      </c>
      <c r="E309" s="9" t="s">
        <v>252</v>
      </c>
      <c r="F309" s="9" t="s">
        <v>110</v>
      </c>
      <c r="G309" s="31" t="s">
        <v>92</v>
      </c>
      <c r="I309" s="2" t="str">
        <f>VLOOKUP(C309,[1]Sheet1!$C:$G,5,FALSE)</f>
        <v>POA</v>
      </c>
      <c r="J309" s="33"/>
    </row>
    <row r="310" spans="1:10" x14ac:dyDescent="0.3">
      <c r="A310" s="7" t="s">
        <v>4</v>
      </c>
      <c r="B310" s="8" t="s">
        <v>238</v>
      </c>
      <c r="C310" s="8" t="s">
        <v>253</v>
      </c>
      <c r="D310" s="6">
        <v>5056003704730</v>
      </c>
      <c r="E310" s="9" t="s">
        <v>254</v>
      </c>
      <c r="F310" s="9" t="s">
        <v>113</v>
      </c>
      <c r="G310" s="31" t="s">
        <v>92</v>
      </c>
      <c r="I310" s="2" t="str">
        <f>VLOOKUP(C310,[1]Sheet1!$C:$G,5,FALSE)</f>
        <v>POA</v>
      </c>
      <c r="J310" s="33"/>
    </row>
    <row r="311" spans="1:10" x14ac:dyDescent="0.3">
      <c r="A311" s="7" t="s">
        <v>4</v>
      </c>
      <c r="B311" s="8" t="s">
        <v>93</v>
      </c>
      <c r="C311" s="8" t="s">
        <v>114</v>
      </c>
      <c r="D311" s="6">
        <v>5056003703962</v>
      </c>
      <c r="E311" s="9" t="s">
        <v>115</v>
      </c>
      <c r="F311" s="9" t="s">
        <v>38</v>
      </c>
      <c r="G311" s="31" t="s">
        <v>92</v>
      </c>
      <c r="I311" s="2" t="str">
        <f>VLOOKUP(C311,[1]Sheet1!$C:$G,5,FALSE)</f>
        <v>POA</v>
      </c>
      <c r="J311" s="33"/>
    </row>
    <row r="312" spans="1:10" x14ac:dyDescent="0.3">
      <c r="A312" s="7" t="s">
        <v>4</v>
      </c>
      <c r="B312" s="8" t="s">
        <v>93</v>
      </c>
      <c r="C312" s="8" t="s">
        <v>116</v>
      </c>
      <c r="D312" s="6">
        <v>5056003703955</v>
      </c>
      <c r="E312" s="9" t="s">
        <v>115</v>
      </c>
      <c r="F312" s="9" t="s">
        <v>26</v>
      </c>
      <c r="G312" s="31" t="s">
        <v>92</v>
      </c>
      <c r="I312" s="2" t="str">
        <f>VLOOKUP(C312,[1]Sheet1!$C:$G,5,FALSE)</f>
        <v>POA</v>
      </c>
      <c r="J312" s="33"/>
    </row>
    <row r="313" spans="1:10" x14ac:dyDescent="0.3">
      <c r="A313" s="7" t="s">
        <v>4</v>
      </c>
      <c r="B313" s="8" t="s">
        <v>93</v>
      </c>
      <c r="C313" s="8" t="s">
        <v>117</v>
      </c>
      <c r="D313" s="6">
        <v>5056003703917</v>
      </c>
      <c r="E313" s="9" t="s">
        <v>118</v>
      </c>
      <c r="F313" s="9" t="s">
        <v>119</v>
      </c>
      <c r="G313" s="31" t="s">
        <v>92</v>
      </c>
      <c r="I313" s="2" t="str">
        <f>VLOOKUP(C313,[1]Sheet1!$C:$G,5,FALSE)</f>
        <v>POA</v>
      </c>
      <c r="J313" s="33"/>
    </row>
    <row r="314" spans="1:10" x14ac:dyDescent="0.3">
      <c r="A314" s="7" t="s">
        <v>4</v>
      </c>
      <c r="B314" s="8" t="s">
        <v>93</v>
      </c>
      <c r="C314" s="8" t="s">
        <v>120</v>
      </c>
      <c r="D314" s="6">
        <v>5056003703900</v>
      </c>
      <c r="E314" s="9" t="s">
        <v>121</v>
      </c>
      <c r="F314" s="9" t="s">
        <v>56</v>
      </c>
      <c r="G314" s="31" t="s">
        <v>92</v>
      </c>
      <c r="I314" s="2" t="str">
        <f>VLOOKUP(C314,[1]Sheet1!$C:$G,5,FALSE)</f>
        <v>POA</v>
      </c>
      <c r="J314" s="33"/>
    </row>
    <row r="315" spans="1:10" x14ac:dyDescent="0.3">
      <c r="A315" s="7" t="s">
        <v>4</v>
      </c>
      <c r="B315" s="8" t="s">
        <v>53</v>
      </c>
      <c r="C315" s="8" t="s">
        <v>66</v>
      </c>
      <c r="D315" s="6">
        <v>5056003703863</v>
      </c>
      <c r="E315" s="9" t="s">
        <v>67</v>
      </c>
      <c r="F315" s="9" t="s">
        <v>56</v>
      </c>
      <c r="G315" s="31" t="s">
        <v>92</v>
      </c>
      <c r="I315" s="2" t="str">
        <f>VLOOKUP(C315,[1]Sheet1!$C:$G,5,FALSE)</f>
        <v>POA</v>
      </c>
      <c r="J315" s="33"/>
    </row>
    <row r="316" spans="1:10" x14ac:dyDescent="0.3">
      <c r="A316" s="7" t="s">
        <v>4</v>
      </c>
      <c r="B316" s="8" t="s">
        <v>53</v>
      </c>
      <c r="C316" s="8" t="s">
        <v>68</v>
      </c>
      <c r="D316" s="6">
        <v>5056003703856</v>
      </c>
      <c r="E316" s="9" t="s">
        <v>69</v>
      </c>
      <c r="F316" s="9" t="s">
        <v>70</v>
      </c>
      <c r="G316" s="31" t="s">
        <v>92</v>
      </c>
      <c r="I316" s="2" t="str">
        <f>VLOOKUP(C316,[1]Sheet1!$C:$G,5,FALSE)</f>
        <v>POA</v>
      </c>
      <c r="J316" s="33"/>
    </row>
    <row r="317" spans="1:10" x14ac:dyDescent="0.3">
      <c r="A317" s="7" t="s">
        <v>4</v>
      </c>
      <c r="B317" s="8" t="s">
        <v>238</v>
      </c>
      <c r="C317" s="8" t="s">
        <v>255</v>
      </c>
      <c r="D317" s="6">
        <v>5056003703986</v>
      </c>
      <c r="E317" s="9" t="s">
        <v>256</v>
      </c>
      <c r="F317" s="9" t="s">
        <v>257</v>
      </c>
      <c r="G317" s="31" t="s">
        <v>92</v>
      </c>
      <c r="I317" s="2" t="str">
        <f>VLOOKUP(C317,[1]Sheet1!$C:$G,5,FALSE)</f>
        <v>POA</v>
      </c>
      <c r="J317" s="33"/>
    </row>
    <row r="318" spans="1:10" x14ac:dyDescent="0.3">
      <c r="A318" s="7" t="s">
        <v>4</v>
      </c>
      <c r="B318" s="8" t="s">
        <v>238</v>
      </c>
      <c r="C318" s="8" t="s">
        <v>258</v>
      </c>
      <c r="D318" s="6">
        <v>5056003707120</v>
      </c>
      <c r="E318" s="9" t="s">
        <v>256</v>
      </c>
      <c r="F318" s="9" t="s">
        <v>259</v>
      </c>
      <c r="G318" s="31" t="s">
        <v>92</v>
      </c>
      <c r="I318" s="2" t="str">
        <f>VLOOKUP(C318,[1]Sheet1!$C:$G,5,FALSE)</f>
        <v>POA</v>
      </c>
      <c r="J318" s="33"/>
    </row>
    <row r="319" spans="1:10" x14ac:dyDescent="0.3">
      <c r="A319" s="7" t="s">
        <v>4</v>
      </c>
      <c r="B319" s="8" t="s">
        <v>238</v>
      </c>
      <c r="C319" s="8" t="s">
        <v>260</v>
      </c>
      <c r="D319" s="6">
        <v>5056003703993</v>
      </c>
      <c r="E319" s="9" t="s">
        <v>256</v>
      </c>
      <c r="F319" s="9" t="s">
        <v>261</v>
      </c>
      <c r="G319" s="31" t="s">
        <v>92</v>
      </c>
      <c r="I319" s="2" t="str">
        <f>VLOOKUP(C319,[1]Sheet1!$C:$G,5,FALSE)</f>
        <v>POA</v>
      </c>
      <c r="J319" s="33"/>
    </row>
    <row r="320" spans="1:10" x14ac:dyDescent="0.3">
      <c r="A320" s="7" t="s">
        <v>4</v>
      </c>
      <c r="B320" s="8" t="s">
        <v>238</v>
      </c>
      <c r="C320" s="8" t="s">
        <v>262</v>
      </c>
      <c r="D320" s="6">
        <v>5056003707137</v>
      </c>
      <c r="E320" s="9" t="s">
        <v>256</v>
      </c>
      <c r="F320" s="9" t="s">
        <v>14</v>
      </c>
      <c r="G320" s="31" t="s">
        <v>92</v>
      </c>
      <c r="I320" s="2" t="str">
        <f>VLOOKUP(C320,[1]Sheet1!$C:$G,5,FALSE)</f>
        <v>POA</v>
      </c>
      <c r="J320" s="33"/>
    </row>
    <row r="321" spans="1:10" x14ac:dyDescent="0.3">
      <c r="A321" s="7" t="s">
        <v>4</v>
      </c>
      <c r="B321" s="8" t="s">
        <v>93</v>
      </c>
      <c r="C321" s="8" t="s">
        <v>122</v>
      </c>
      <c r="D321" s="6">
        <v>5056003704754</v>
      </c>
      <c r="E321" s="9" t="s">
        <v>123</v>
      </c>
      <c r="F321" s="9" t="s">
        <v>56</v>
      </c>
      <c r="G321" s="31" t="s">
        <v>92</v>
      </c>
      <c r="I321" s="2" t="str">
        <f>VLOOKUP(C321,[1]Sheet1!$C:$G,5,FALSE)</f>
        <v>POA</v>
      </c>
      <c r="J321" s="33"/>
    </row>
    <row r="322" spans="1:10" x14ac:dyDescent="0.3">
      <c r="A322" s="7" t="s">
        <v>4</v>
      </c>
      <c r="B322" s="8" t="s">
        <v>93</v>
      </c>
      <c r="C322" s="8" t="s">
        <v>124</v>
      </c>
      <c r="D322" s="6">
        <v>5056003703764</v>
      </c>
      <c r="E322" s="9" t="s">
        <v>125</v>
      </c>
      <c r="F322" s="9" t="s">
        <v>56</v>
      </c>
      <c r="G322" s="31" t="s">
        <v>92</v>
      </c>
      <c r="I322" s="2" t="str">
        <f>VLOOKUP(C322,[1]Sheet1!$C:$G,5,FALSE)</f>
        <v>POA</v>
      </c>
      <c r="J322" s="33"/>
    </row>
    <row r="323" spans="1:10" x14ac:dyDescent="0.3">
      <c r="A323" s="7" t="s">
        <v>4</v>
      </c>
      <c r="B323" s="8" t="s">
        <v>93</v>
      </c>
      <c r="C323" s="8" t="s">
        <v>126</v>
      </c>
      <c r="D323" s="6">
        <v>5056003703757</v>
      </c>
      <c r="E323" s="9" t="s">
        <v>127</v>
      </c>
      <c r="F323" s="9" t="s">
        <v>65</v>
      </c>
      <c r="G323" s="31" t="s">
        <v>92</v>
      </c>
      <c r="I323" s="2" t="str">
        <f>VLOOKUP(C323,[1]Sheet1!$C:$G,5,FALSE)</f>
        <v>POA</v>
      </c>
      <c r="J323" s="33"/>
    </row>
    <row r="324" spans="1:10" x14ac:dyDescent="0.3">
      <c r="A324" s="7" t="s">
        <v>4</v>
      </c>
      <c r="B324" s="8" t="s">
        <v>93</v>
      </c>
      <c r="C324" s="8" t="s">
        <v>128</v>
      </c>
      <c r="D324" s="6">
        <v>5056003723632</v>
      </c>
      <c r="E324" s="9" t="s">
        <v>129</v>
      </c>
      <c r="F324" s="9" t="s">
        <v>65</v>
      </c>
      <c r="G324" s="31" t="s">
        <v>92</v>
      </c>
      <c r="I324" s="2" t="str">
        <f>VLOOKUP(C324,[1]Sheet1!$C:$G,5,FALSE)</f>
        <v>POA</v>
      </c>
      <c r="J324" s="33"/>
    </row>
    <row r="325" spans="1:10" x14ac:dyDescent="0.3">
      <c r="A325" s="7" t="s">
        <v>4</v>
      </c>
      <c r="B325" s="8" t="s">
        <v>93</v>
      </c>
      <c r="C325" s="8" t="s">
        <v>130</v>
      </c>
      <c r="D325" s="6">
        <v>5056003704303</v>
      </c>
      <c r="E325" s="9" t="s">
        <v>131</v>
      </c>
      <c r="F325" s="9" t="s">
        <v>65</v>
      </c>
      <c r="G325" s="31" t="s">
        <v>92</v>
      </c>
      <c r="I325" s="2" t="str">
        <f>VLOOKUP(C325,[1]Sheet1!$C:$G,5,FALSE)</f>
        <v>POA</v>
      </c>
      <c r="J325" s="33"/>
    </row>
    <row r="326" spans="1:10" x14ac:dyDescent="0.3">
      <c r="A326" s="7" t="s">
        <v>4</v>
      </c>
      <c r="B326" s="8" t="s">
        <v>93</v>
      </c>
      <c r="C326" s="8" t="s">
        <v>132</v>
      </c>
      <c r="D326" s="6">
        <v>5056003703627</v>
      </c>
      <c r="E326" s="9" t="s">
        <v>133</v>
      </c>
      <c r="F326" s="9" t="s">
        <v>56</v>
      </c>
      <c r="G326" s="31" t="s">
        <v>92</v>
      </c>
      <c r="I326" s="2" t="str">
        <f>VLOOKUP(C326,[1]Sheet1!$C:$G,5,FALSE)</f>
        <v>POA</v>
      </c>
      <c r="J326" s="33"/>
    </row>
    <row r="327" spans="1:10" x14ac:dyDescent="0.3">
      <c r="A327" s="7" t="s">
        <v>4</v>
      </c>
      <c r="B327" s="8" t="s">
        <v>93</v>
      </c>
      <c r="C327" s="8" t="s">
        <v>134</v>
      </c>
      <c r="D327" s="6">
        <v>5056003703610</v>
      </c>
      <c r="E327" s="9" t="s">
        <v>135</v>
      </c>
      <c r="F327" s="9" t="s">
        <v>56</v>
      </c>
      <c r="G327" s="31" t="s">
        <v>92</v>
      </c>
      <c r="I327" s="2" t="str">
        <f>VLOOKUP(C327,[1]Sheet1!$C:$G,5,FALSE)</f>
        <v>POA</v>
      </c>
      <c r="J327" s="33"/>
    </row>
    <row r="328" spans="1:10" x14ac:dyDescent="0.3">
      <c r="A328" s="7" t="s">
        <v>4</v>
      </c>
      <c r="B328" s="8" t="s">
        <v>93</v>
      </c>
      <c r="C328" s="8" t="s">
        <v>136</v>
      </c>
      <c r="D328" s="6">
        <v>5056003703733</v>
      </c>
      <c r="E328" s="9" t="s">
        <v>137</v>
      </c>
      <c r="F328" s="9" t="s">
        <v>65</v>
      </c>
      <c r="G328" s="31" t="s">
        <v>92</v>
      </c>
      <c r="I328" s="2" t="str">
        <f>VLOOKUP(C328,[1]Sheet1!$C:$G,5,FALSE)</f>
        <v>POA</v>
      </c>
      <c r="J328" s="33"/>
    </row>
    <row r="329" spans="1:10" x14ac:dyDescent="0.3">
      <c r="A329" s="7" t="s">
        <v>4</v>
      </c>
      <c r="B329" s="8" t="s">
        <v>93</v>
      </c>
      <c r="C329" s="8" t="s">
        <v>138</v>
      </c>
      <c r="D329" s="6">
        <v>5056003703726</v>
      </c>
      <c r="E329" s="9" t="s">
        <v>139</v>
      </c>
      <c r="F329" s="9" t="s">
        <v>65</v>
      </c>
      <c r="G329" s="31" t="s">
        <v>92</v>
      </c>
      <c r="I329" s="2" t="str">
        <f>VLOOKUP(C329,[1]Sheet1!$C:$G,5,FALSE)</f>
        <v>POA</v>
      </c>
      <c r="J329" s="33"/>
    </row>
    <row r="330" spans="1:10" x14ac:dyDescent="0.3">
      <c r="A330" s="7" t="s">
        <v>4</v>
      </c>
      <c r="B330" s="8" t="s">
        <v>93</v>
      </c>
      <c r="C330" s="8" t="s">
        <v>140</v>
      </c>
      <c r="D330" s="6">
        <v>5056003703719</v>
      </c>
      <c r="E330" s="9" t="s">
        <v>141</v>
      </c>
      <c r="F330" s="9" t="s">
        <v>65</v>
      </c>
      <c r="G330" s="31" t="s">
        <v>92</v>
      </c>
      <c r="I330" s="2" t="str">
        <f>VLOOKUP(C330,[1]Sheet1!$C:$G,5,FALSE)</f>
        <v>POA</v>
      </c>
      <c r="J330" s="33"/>
    </row>
    <row r="331" spans="1:10" x14ac:dyDescent="0.3">
      <c r="A331" s="7" t="s">
        <v>4</v>
      </c>
      <c r="B331" s="8" t="s">
        <v>93</v>
      </c>
      <c r="C331" s="8" t="s">
        <v>142</v>
      </c>
      <c r="D331" s="6">
        <v>5056003704341</v>
      </c>
      <c r="E331" s="9" t="s">
        <v>143</v>
      </c>
      <c r="F331" s="9" t="s">
        <v>65</v>
      </c>
      <c r="G331" s="31" t="s">
        <v>92</v>
      </c>
      <c r="I331" s="2" t="str">
        <f>VLOOKUP(C331,[1]Sheet1!$C:$G,5,FALSE)</f>
        <v>POA</v>
      </c>
      <c r="J331" s="33"/>
    </row>
    <row r="332" spans="1:10" x14ac:dyDescent="0.3">
      <c r="A332" s="7" t="s">
        <v>4</v>
      </c>
      <c r="B332" s="8" t="s">
        <v>93</v>
      </c>
      <c r="C332" s="8" t="s">
        <v>144</v>
      </c>
      <c r="D332" s="6">
        <v>5056003704358</v>
      </c>
      <c r="E332" s="9" t="s">
        <v>145</v>
      </c>
      <c r="F332" s="9" t="s">
        <v>65</v>
      </c>
      <c r="G332" s="31" t="s">
        <v>92</v>
      </c>
      <c r="I332" s="2" t="str">
        <f>VLOOKUP(C332,[1]Sheet1!$C:$G,5,FALSE)</f>
        <v>POA</v>
      </c>
      <c r="J332" s="33"/>
    </row>
    <row r="333" spans="1:10" x14ac:dyDescent="0.3">
      <c r="A333" s="7" t="s">
        <v>4</v>
      </c>
      <c r="B333" s="8" t="s">
        <v>93</v>
      </c>
      <c r="C333" s="8" t="s">
        <v>146</v>
      </c>
      <c r="D333" s="6">
        <v>5056003704372</v>
      </c>
      <c r="E333" s="9" t="s">
        <v>147</v>
      </c>
      <c r="F333" s="9" t="s">
        <v>148</v>
      </c>
      <c r="G333" s="31" t="s">
        <v>92</v>
      </c>
      <c r="I333" s="2" t="str">
        <f>VLOOKUP(C333,[1]Sheet1!$C:$G,5,FALSE)</f>
        <v>POA</v>
      </c>
      <c r="J333" s="33"/>
    </row>
    <row r="334" spans="1:10" x14ac:dyDescent="0.3">
      <c r="A334" s="7" t="s">
        <v>4</v>
      </c>
      <c r="B334" s="8" t="s">
        <v>53</v>
      </c>
      <c r="C334" s="8" t="s">
        <v>71</v>
      </c>
      <c r="D334" s="6">
        <v>5056003704785</v>
      </c>
      <c r="E334" s="9" t="s">
        <v>72</v>
      </c>
      <c r="F334" s="9" t="s">
        <v>56</v>
      </c>
      <c r="G334" s="31" t="s">
        <v>92</v>
      </c>
      <c r="I334" s="2" t="str">
        <f>VLOOKUP(C334,[1]Sheet1!$C:$G,5,FALSE)</f>
        <v>POA</v>
      </c>
      <c r="J334" s="33"/>
    </row>
    <row r="335" spans="1:10" x14ac:dyDescent="0.3">
      <c r="A335" s="7" t="s">
        <v>4</v>
      </c>
      <c r="B335" s="8" t="s">
        <v>93</v>
      </c>
      <c r="C335" s="8" t="s">
        <v>149</v>
      </c>
      <c r="D335" s="6">
        <v>5056003705522</v>
      </c>
      <c r="E335" s="9" t="s">
        <v>150</v>
      </c>
      <c r="F335" s="9" t="s">
        <v>65</v>
      </c>
      <c r="G335" s="31" t="s">
        <v>92</v>
      </c>
      <c r="I335" s="2" t="str">
        <f>VLOOKUP(C335,[1]Sheet1!$C:$G,5,FALSE)</f>
        <v>POA</v>
      </c>
      <c r="J335" s="33"/>
    </row>
    <row r="336" spans="1:10" x14ac:dyDescent="0.3">
      <c r="A336" s="7" t="s">
        <v>4</v>
      </c>
      <c r="B336" s="8" t="s">
        <v>53</v>
      </c>
      <c r="C336" s="8" t="s">
        <v>73</v>
      </c>
      <c r="D336" s="6">
        <v>5056003705515</v>
      </c>
      <c r="E336" s="9" t="s">
        <v>74</v>
      </c>
      <c r="F336" s="9" t="s">
        <v>65</v>
      </c>
      <c r="G336" s="31" t="s">
        <v>92</v>
      </c>
      <c r="I336" s="2" t="str">
        <f>VLOOKUP(C336,[1]Sheet1!$C:$G,5,FALSE)</f>
        <v>POA</v>
      </c>
      <c r="J336" s="33"/>
    </row>
    <row r="337" spans="1:10" x14ac:dyDescent="0.3">
      <c r="A337" s="7" t="s">
        <v>4</v>
      </c>
      <c r="B337" s="8" t="s">
        <v>53</v>
      </c>
      <c r="C337" s="8" t="s">
        <v>75</v>
      </c>
      <c r="D337" s="6">
        <v>5056003705508</v>
      </c>
      <c r="E337" s="9" t="s">
        <v>76</v>
      </c>
      <c r="F337" s="9" t="s">
        <v>65</v>
      </c>
      <c r="G337" s="31" t="s">
        <v>92</v>
      </c>
      <c r="I337" s="2" t="str">
        <f>VLOOKUP(C337,[1]Sheet1!$C:$G,5,FALSE)</f>
        <v>POA</v>
      </c>
      <c r="J337" s="33"/>
    </row>
    <row r="338" spans="1:10" x14ac:dyDescent="0.3">
      <c r="A338" s="7" t="s">
        <v>4</v>
      </c>
      <c r="B338" s="8" t="s">
        <v>93</v>
      </c>
      <c r="C338" s="8" t="s">
        <v>151</v>
      </c>
      <c r="D338" s="6">
        <v>5056003704518</v>
      </c>
      <c r="E338" s="9" t="s">
        <v>152</v>
      </c>
      <c r="F338" s="9" t="s">
        <v>153</v>
      </c>
      <c r="G338" s="31">
        <v>312.58499999999998</v>
      </c>
      <c r="I338" s="2">
        <f>VLOOKUP(C338,[1]Sheet1!$C:$G,5,FALSE)</f>
        <v>297.7</v>
      </c>
      <c r="J338" s="33">
        <f t="shared" ref="J338:J354" si="5">(G338-I338)/I338</f>
        <v>4.9999999999999968E-2</v>
      </c>
    </row>
    <row r="339" spans="1:10" x14ac:dyDescent="0.3">
      <c r="A339" s="7" t="s">
        <v>4</v>
      </c>
      <c r="B339" s="8" t="s">
        <v>93</v>
      </c>
      <c r="C339" s="8" t="s">
        <v>154</v>
      </c>
      <c r="D339" s="6">
        <v>5056003704525</v>
      </c>
      <c r="E339" s="9" t="s">
        <v>152</v>
      </c>
      <c r="F339" s="9" t="s">
        <v>155</v>
      </c>
      <c r="G339" s="31">
        <v>312.58499999999998</v>
      </c>
      <c r="I339" s="2">
        <f>VLOOKUP(C339,[1]Sheet1!$C:$G,5,FALSE)</f>
        <v>297.7</v>
      </c>
      <c r="J339" s="33">
        <f t="shared" si="5"/>
        <v>4.9999999999999968E-2</v>
      </c>
    </row>
    <row r="340" spans="1:10" x14ac:dyDescent="0.3">
      <c r="A340" s="7" t="s">
        <v>4</v>
      </c>
      <c r="B340" s="8" t="s">
        <v>93</v>
      </c>
      <c r="C340" s="8" t="s">
        <v>156</v>
      </c>
      <c r="D340" s="6">
        <v>5056003705799</v>
      </c>
      <c r="E340" s="9" t="s">
        <v>152</v>
      </c>
      <c r="F340" s="9" t="s">
        <v>157</v>
      </c>
      <c r="G340" s="31">
        <v>342.35499999999996</v>
      </c>
      <c r="I340" s="2">
        <f>VLOOKUP(C340,[1]Sheet1!$C:$G,5,FALSE)</f>
        <v>297.7</v>
      </c>
      <c r="J340" s="33">
        <f t="shared" si="5"/>
        <v>0.14999999999999991</v>
      </c>
    </row>
    <row r="341" spans="1:10" x14ac:dyDescent="0.3">
      <c r="A341" s="7" t="s">
        <v>4</v>
      </c>
      <c r="B341" s="8" t="s">
        <v>93</v>
      </c>
      <c r="C341" s="13" t="s">
        <v>263</v>
      </c>
      <c r="D341" s="6">
        <v>5056003709223</v>
      </c>
      <c r="E341" s="14" t="s">
        <v>264</v>
      </c>
      <c r="F341" s="12" t="s">
        <v>50</v>
      </c>
      <c r="G341" s="31" t="s">
        <v>92</v>
      </c>
      <c r="I341" s="2" t="str">
        <f>VLOOKUP(C341,[1]Sheet1!$C:$G,5,FALSE)</f>
        <v>POA</v>
      </c>
      <c r="J341" s="33"/>
    </row>
    <row r="342" spans="1:10" x14ac:dyDescent="0.3">
      <c r="A342" s="7" t="s">
        <v>4</v>
      </c>
      <c r="B342" s="8" t="s">
        <v>93</v>
      </c>
      <c r="C342" s="13" t="s">
        <v>265</v>
      </c>
      <c r="D342" s="6">
        <v>5056003708912</v>
      </c>
      <c r="E342" s="14" t="s">
        <v>266</v>
      </c>
      <c r="F342" s="12" t="s">
        <v>267</v>
      </c>
      <c r="G342" s="31" t="s">
        <v>92</v>
      </c>
      <c r="I342" s="2" t="str">
        <f>VLOOKUP(C342,[1]Sheet1!$C:$G,5,FALSE)</f>
        <v>POA</v>
      </c>
      <c r="J342" s="33"/>
    </row>
    <row r="343" spans="1:10" x14ac:dyDescent="0.3">
      <c r="A343" s="7" t="s">
        <v>4</v>
      </c>
      <c r="B343" s="8" t="s">
        <v>93</v>
      </c>
      <c r="C343" s="10" t="s">
        <v>158</v>
      </c>
      <c r="D343" s="6">
        <v>5056003709193</v>
      </c>
      <c r="E343" s="11" t="s">
        <v>159</v>
      </c>
      <c r="F343" s="12" t="s">
        <v>50</v>
      </c>
      <c r="G343" s="31">
        <v>2.0369999999999999</v>
      </c>
      <c r="I343" s="2">
        <f>VLOOKUP(C343,[1]Sheet1!$C:$G,5,FALSE)</f>
        <v>1.94</v>
      </c>
      <c r="J343" s="33">
        <f t="shared" si="5"/>
        <v>4.9999999999999989E-2</v>
      </c>
    </row>
    <row r="344" spans="1:10" x14ac:dyDescent="0.3">
      <c r="A344" s="7" t="s">
        <v>4</v>
      </c>
      <c r="B344" s="8" t="s">
        <v>93</v>
      </c>
      <c r="C344" s="10" t="s">
        <v>160</v>
      </c>
      <c r="D344" s="6">
        <v>5056003708875</v>
      </c>
      <c r="E344" s="11" t="s">
        <v>161</v>
      </c>
      <c r="F344" s="12" t="s">
        <v>89</v>
      </c>
      <c r="G344" s="31">
        <v>2.0369999999999999</v>
      </c>
      <c r="I344" s="2">
        <f>VLOOKUP(C344,[1]Sheet1!$C:$G,5,FALSE)</f>
        <v>1.94</v>
      </c>
      <c r="J344" s="33">
        <f t="shared" si="5"/>
        <v>4.9999999999999989E-2</v>
      </c>
    </row>
    <row r="345" spans="1:10" x14ac:dyDescent="0.3">
      <c r="A345" s="7" t="s">
        <v>4</v>
      </c>
      <c r="B345" s="8" t="s">
        <v>93</v>
      </c>
      <c r="C345" s="10" t="s">
        <v>162</v>
      </c>
      <c r="D345" s="6">
        <v>5056003708868</v>
      </c>
      <c r="E345" s="11" t="s">
        <v>163</v>
      </c>
      <c r="F345" s="12" t="s">
        <v>89</v>
      </c>
      <c r="G345" s="31">
        <v>2.0369999999999999</v>
      </c>
      <c r="I345" s="2">
        <f>VLOOKUP(C345,[1]Sheet1!$C:$G,5,FALSE)</f>
        <v>1.94</v>
      </c>
      <c r="J345" s="33">
        <f t="shared" si="5"/>
        <v>4.9999999999999989E-2</v>
      </c>
    </row>
    <row r="346" spans="1:10" x14ac:dyDescent="0.3">
      <c r="A346" s="7" t="s">
        <v>4</v>
      </c>
      <c r="B346" s="8" t="s">
        <v>93</v>
      </c>
      <c r="C346" s="10" t="s">
        <v>164</v>
      </c>
      <c r="D346" s="6">
        <v>5056003709209</v>
      </c>
      <c r="E346" s="11" t="s">
        <v>165</v>
      </c>
      <c r="F346" s="12" t="s">
        <v>85</v>
      </c>
      <c r="G346" s="31">
        <v>2.0369999999999999</v>
      </c>
      <c r="I346" s="2">
        <f>VLOOKUP(C346,[1]Sheet1!$C:$G,5,FALSE)</f>
        <v>1.94</v>
      </c>
      <c r="J346" s="33">
        <f t="shared" si="5"/>
        <v>4.9999999999999989E-2</v>
      </c>
    </row>
    <row r="347" spans="1:10" x14ac:dyDescent="0.3">
      <c r="A347" s="7" t="s">
        <v>4</v>
      </c>
      <c r="B347" s="8" t="s">
        <v>93</v>
      </c>
      <c r="C347" s="10" t="s">
        <v>166</v>
      </c>
      <c r="D347" s="6">
        <v>5056003708882</v>
      </c>
      <c r="E347" s="11" t="s">
        <v>167</v>
      </c>
      <c r="F347" s="12" t="s">
        <v>89</v>
      </c>
      <c r="G347" s="31">
        <v>3.4020000000000006</v>
      </c>
      <c r="I347" s="2">
        <f>VLOOKUP(C347,[1]Sheet1!$C:$G,5,FALSE)</f>
        <v>3.24</v>
      </c>
      <c r="J347" s="33">
        <f t="shared" si="5"/>
        <v>5.0000000000000107E-2</v>
      </c>
    </row>
    <row r="348" spans="1:10" x14ac:dyDescent="0.3">
      <c r="A348" s="7" t="s">
        <v>4</v>
      </c>
      <c r="B348" s="8" t="s">
        <v>93</v>
      </c>
      <c r="C348" s="10" t="s">
        <v>168</v>
      </c>
      <c r="D348" s="6">
        <v>5056003709025</v>
      </c>
      <c r="E348" s="11" t="s">
        <v>169</v>
      </c>
      <c r="F348" s="12" t="s">
        <v>50</v>
      </c>
      <c r="G348" s="31">
        <v>448.14000000000004</v>
      </c>
      <c r="I348" s="2">
        <f>VLOOKUP(C348,[1]Sheet1!$C:$G,5,FALSE)</f>
        <v>426.8</v>
      </c>
      <c r="J348" s="33">
        <f t="shared" si="5"/>
        <v>5.0000000000000072E-2</v>
      </c>
    </row>
    <row r="349" spans="1:10" x14ac:dyDescent="0.3">
      <c r="A349" s="7" t="s">
        <v>4</v>
      </c>
      <c r="B349" s="8" t="s">
        <v>1908</v>
      </c>
      <c r="C349" s="13" t="s">
        <v>268</v>
      </c>
      <c r="D349" s="6">
        <v>5056003723816</v>
      </c>
      <c r="E349" s="14" t="s">
        <v>269</v>
      </c>
      <c r="F349" s="12" t="s">
        <v>52</v>
      </c>
      <c r="G349" s="31" t="s">
        <v>92</v>
      </c>
      <c r="I349" s="2" t="str">
        <f>VLOOKUP(C349,[1]Sheet1!$C:$G,5,FALSE)</f>
        <v>POA</v>
      </c>
      <c r="J349" s="33"/>
    </row>
    <row r="350" spans="1:10" x14ac:dyDescent="0.3">
      <c r="A350" s="7" t="s">
        <v>4</v>
      </c>
      <c r="B350" s="8" t="s">
        <v>93</v>
      </c>
      <c r="C350" s="10" t="s">
        <v>170</v>
      </c>
      <c r="D350" s="6">
        <v>5056003708592</v>
      </c>
      <c r="E350" s="11" t="s">
        <v>169</v>
      </c>
      <c r="F350" s="12" t="s">
        <v>52</v>
      </c>
      <c r="G350" s="31">
        <v>307.75500000000005</v>
      </c>
      <c r="I350" s="2">
        <f>VLOOKUP(C350,[1]Sheet1!$C:$G,5,FALSE)</f>
        <v>293.10000000000002</v>
      </c>
      <c r="J350" s="33">
        <f t="shared" si="5"/>
        <v>5.00000000000001E-2</v>
      </c>
    </row>
    <row r="351" spans="1:10" x14ac:dyDescent="0.3">
      <c r="A351" s="7" t="s">
        <v>4</v>
      </c>
      <c r="B351" s="8" t="s">
        <v>93</v>
      </c>
      <c r="C351" s="13" t="s">
        <v>270</v>
      </c>
      <c r="D351" s="6">
        <v>5056003708639</v>
      </c>
      <c r="E351" s="14" t="s">
        <v>271</v>
      </c>
      <c r="F351" s="12" t="s">
        <v>52</v>
      </c>
      <c r="G351" s="31">
        <v>508.935</v>
      </c>
      <c r="I351" s="2">
        <f>VLOOKUP(C351,[1]Sheet1!$C:$G,5,FALSE)</f>
        <v>484.7</v>
      </c>
      <c r="J351" s="33">
        <f t="shared" si="5"/>
        <v>5.0000000000000031E-2</v>
      </c>
    </row>
    <row r="352" spans="1:10" x14ac:dyDescent="0.3">
      <c r="A352" s="7" t="s">
        <v>4</v>
      </c>
      <c r="B352" s="8" t="s">
        <v>1908</v>
      </c>
      <c r="C352" s="13" t="s">
        <v>272</v>
      </c>
      <c r="D352" s="6">
        <v>5056003723823</v>
      </c>
      <c r="E352" s="14" t="s">
        <v>273</v>
      </c>
      <c r="F352" s="12" t="s">
        <v>52</v>
      </c>
      <c r="G352" s="31">
        <v>85.679999999999993</v>
      </c>
      <c r="I352" s="2">
        <f>VLOOKUP(C352,[1]Sheet1!$C:$G,5,FALSE)</f>
        <v>81.599999999999994</v>
      </c>
      <c r="J352" s="33">
        <f t="shared" si="5"/>
        <v>4.9999999999999982E-2</v>
      </c>
    </row>
    <row r="353" spans="1:10" x14ac:dyDescent="0.3">
      <c r="A353" s="7" t="s">
        <v>4</v>
      </c>
      <c r="B353" s="8" t="s">
        <v>93</v>
      </c>
      <c r="C353" s="13" t="s">
        <v>274</v>
      </c>
      <c r="D353" s="6">
        <v>5056003708806</v>
      </c>
      <c r="E353" s="14" t="s">
        <v>275</v>
      </c>
      <c r="F353" s="12" t="s">
        <v>52</v>
      </c>
      <c r="G353" s="31" t="s">
        <v>92</v>
      </c>
      <c r="I353" s="2" t="str">
        <f>VLOOKUP(C353,[1]Sheet1!$C:$G,5,FALSE)</f>
        <v>POA</v>
      </c>
      <c r="J353" s="33"/>
    </row>
    <row r="354" spans="1:10" x14ac:dyDescent="0.3">
      <c r="A354" s="7" t="s">
        <v>4</v>
      </c>
      <c r="B354" s="8" t="s">
        <v>53</v>
      </c>
      <c r="C354" s="10" t="s">
        <v>77</v>
      </c>
      <c r="D354" s="6">
        <v>5056003708578</v>
      </c>
      <c r="E354" s="11" t="s">
        <v>78</v>
      </c>
      <c r="F354" s="12" t="s">
        <v>79</v>
      </c>
      <c r="G354" s="31">
        <v>4.0215000000000005</v>
      </c>
      <c r="I354" s="2">
        <f>VLOOKUP(C354,[1]Sheet1!$C:$G,5,FALSE)</f>
        <v>3.83</v>
      </c>
      <c r="J354" s="33">
        <f t="shared" si="5"/>
        <v>5.0000000000000114E-2</v>
      </c>
    </row>
    <row r="355" spans="1:10" x14ac:dyDescent="0.3">
      <c r="A355" s="7" t="s">
        <v>4</v>
      </c>
      <c r="B355" s="8" t="s">
        <v>93</v>
      </c>
      <c r="C355" s="13" t="s">
        <v>276</v>
      </c>
      <c r="D355" s="6">
        <v>5056003708660</v>
      </c>
      <c r="E355" s="14" t="s">
        <v>277</v>
      </c>
      <c r="F355" s="12" t="s">
        <v>52</v>
      </c>
      <c r="G355" s="31" t="s">
        <v>92</v>
      </c>
      <c r="I355" s="2" t="str">
        <f>VLOOKUP(C355,[1]Sheet1!$C:$G,5,FALSE)</f>
        <v>POA</v>
      </c>
      <c r="J355" s="33"/>
    </row>
    <row r="356" spans="1:10" x14ac:dyDescent="0.3">
      <c r="A356" s="7" t="s">
        <v>4</v>
      </c>
      <c r="B356" s="8" t="s">
        <v>93</v>
      </c>
      <c r="C356" s="13" t="s">
        <v>278</v>
      </c>
      <c r="D356" s="6">
        <v>5056003708745</v>
      </c>
      <c r="E356" s="14" t="s">
        <v>279</v>
      </c>
      <c r="F356" s="12" t="s">
        <v>52</v>
      </c>
      <c r="G356" s="31" t="s">
        <v>92</v>
      </c>
      <c r="I356" s="2" t="str">
        <f>VLOOKUP(C356,[1]Sheet1!$C:$G,5,FALSE)</f>
        <v>POA</v>
      </c>
      <c r="J356" s="33"/>
    </row>
    <row r="357" spans="1:10" x14ac:dyDescent="0.3">
      <c r="A357" s="7" t="s">
        <v>4</v>
      </c>
      <c r="B357" s="8" t="s">
        <v>93</v>
      </c>
      <c r="C357" s="13" t="s">
        <v>280</v>
      </c>
      <c r="D357" s="6">
        <v>5056003708813</v>
      </c>
      <c r="E357" s="14" t="s">
        <v>281</v>
      </c>
      <c r="F357" s="12" t="s">
        <v>52</v>
      </c>
      <c r="G357" s="31" t="s">
        <v>92</v>
      </c>
      <c r="I357" s="2" t="str">
        <f>VLOOKUP(C357,[1]Sheet1!$C:$G,5,FALSE)</f>
        <v>POA</v>
      </c>
      <c r="J357" s="33"/>
    </row>
    <row r="358" spans="1:10" x14ac:dyDescent="0.3">
      <c r="A358" s="7" t="s">
        <v>4</v>
      </c>
      <c r="B358" s="8" t="s">
        <v>93</v>
      </c>
      <c r="C358" s="13" t="s">
        <v>282</v>
      </c>
      <c r="D358" s="6">
        <v>5056003708851</v>
      </c>
      <c r="E358" s="14" t="s">
        <v>283</v>
      </c>
      <c r="F358" s="12" t="s">
        <v>52</v>
      </c>
      <c r="G358" s="31" t="s">
        <v>92</v>
      </c>
      <c r="I358" s="2" t="str">
        <f>VLOOKUP(C358,[1]Sheet1!$C:$G,5,FALSE)</f>
        <v>POA</v>
      </c>
      <c r="J358" s="33"/>
    </row>
    <row r="359" spans="1:10" x14ac:dyDescent="0.3">
      <c r="A359" s="7" t="s">
        <v>4</v>
      </c>
      <c r="B359" s="8" t="s">
        <v>238</v>
      </c>
      <c r="C359" s="10" t="s">
        <v>284</v>
      </c>
      <c r="D359" s="6">
        <v>5056003708752</v>
      </c>
      <c r="E359" s="11" t="s">
        <v>285</v>
      </c>
      <c r="F359" s="12" t="s">
        <v>89</v>
      </c>
      <c r="G359" s="31">
        <v>8.0325000000000006</v>
      </c>
      <c r="I359" s="2">
        <f>VLOOKUP(C359,[1]Sheet1!$C:$G,5,FALSE)</f>
        <v>7.65</v>
      </c>
      <c r="J359" s="33">
        <f t="shared" ref="J359:J417" si="6">(G359-I359)/I359</f>
        <v>5.0000000000000037E-2</v>
      </c>
    </row>
    <row r="360" spans="1:10" x14ac:dyDescent="0.3">
      <c r="A360" s="7" t="s">
        <v>4</v>
      </c>
      <c r="B360" s="8" t="s">
        <v>238</v>
      </c>
      <c r="C360" s="10" t="s">
        <v>286</v>
      </c>
      <c r="D360" s="6">
        <v>5056003708769</v>
      </c>
      <c r="E360" s="11" t="s">
        <v>287</v>
      </c>
      <c r="F360" s="12" t="s">
        <v>89</v>
      </c>
      <c r="G360" s="31">
        <v>48.195</v>
      </c>
      <c r="I360" s="2">
        <f>VLOOKUP(C360,[1]Sheet1!$C:$G,5,FALSE)</f>
        <v>45.9</v>
      </c>
      <c r="J360" s="33">
        <f t="shared" si="6"/>
        <v>5.0000000000000037E-2</v>
      </c>
    </row>
    <row r="361" spans="1:10" x14ac:dyDescent="0.3">
      <c r="A361" s="7" t="s">
        <v>4</v>
      </c>
      <c r="B361" s="8" t="s">
        <v>203</v>
      </c>
      <c r="C361" s="13" t="s">
        <v>288</v>
      </c>
      <c r="D361" s="6">
        <v>5056003723847</v>
      </c>
      <c r="E361" s="14" t="s">
        <v>289</v>
      </c>
      <c r="F361" s="12" t="s">
        <v>290</v>
      </c>
      <c r="G361" s="31" t="s">
        <v>92</v>
      </c>
      <c r="I361" s="2" t="str">
        <f>VLOOKUP(C361,[1]Sheet1!$C:$G,5,FALSE)</f>
        <v>POA</v>
      </c>
      <c r="J361" s="33"/>
    </row>
    <row r="362" spans="1:10" x14ac:dyDescent="0.3">
      <c r="A362" s="7" t="s">
        <v>4</v>
      </c>
      <c r="B362" s="8" t="s">
        <v>93</v>
      </c>
      <c r="C362" s="13" t="s">
        <v>291</v>
      </c>
      <c r="D362" s="6">
        <v>5056003708905</v>
      </c>
      <c r="E362" s="16" t="s">
        <v>292</v>
      </c>
      <c r="F362" s="12" t="s">
        <v>267</v>
      </c>
      <c r="G362" s="31" t="s">
        <v>92</v>
      </c>
      <c r="I362" s="2" t="str">
        <f>VLOOKUP(C362,[1]Sheet1!$C:$G,5,FALSE)</f>
        <v>POA</v>
      </c>
      <c r="J362" s="33"/>
    </row>
    <row r="363" spans="1:10" x14ac:dyDescent="0.3">
      <c r="A363" s="7" t="s">
        <v>4</v>
      </c>
      <c r="B363" s="8" t="s">
        <v>27</v>
      </c>
      <c r="C363" s="10" t="s">
        <v>46</v>
      </c>
      <c r="D363" s="6">
        <v>5056003709322</v>
      </c>
      <c r="E363" s="11" t="s">
        <v>47</v>
      </c>
      <c r="F363" s="12" t="s">
        <v>48</v>
      </c>
      <c r="G363" s="31">
        <v>803.67</v>
      </c>
      <c r="I363" s="2">
        <f>VLOOKUP(C363,[1]Sheet1!$C:$G,5,FALSE)</f>
        <v>765.4</v>
      </c>
      <c r="J363" s="33">
        <f t="shared" si="6"/>
        <v>4.9999999999999975E-2</v>
      </c>
    </row>
    <row r="364" spans="1:10" x14ac:dyDescent="0.3">
      <c r="A364" s="7" t="s">
        <v>4</v>
      </c>
      <c r="B364" s="8" t="s">
        <v>238</v>
      </c>
      <c r="C364" s="10" t="s">
        <v>293</v>
      </c>
      <c r="D364" s="6">
        <v>5056003709353</v>
      </c>
      <c r="E364" s="11" t="s">
        <v>294</v>
      </c>
      <c r="F364" s="12" t="s">
        <v>48</v>
      </c>
      <c r="G364" s="31">
        <v>66.885000000000005</v>
      </c>
      <c r="I364" s="2">
        <f>VLOOKUP(C364,[1]Sheet1!$C:$G,5,FALSE)</f>
        <v>63.7</v>
      </c>
      <c r="J364" s="33">
        <f t="shared" si="6"/>
        <v>5.0000000000000031E-2</v>
      </c>
    </row>
    <row r="365" spans="1:10" x14ac:dyDescent="0.3">
      <c r="A365" s="7" t="s">
        <v>4</v>
      </c>
      <c r="B365" s="8" t="s">
        <v>238</v>
      </c>
      <c r="C365" s="10" t="s">
        <v>295</v>
      </c>
      <c r="D365" s="6">
        <v>5056003709377</v>
      </c>
      <c r="E365" s="11" t="s">
        <v>296</v>
      </c>
      <c r="F365" s="12" t="s">
        <v>48</v>
      </c>
      <c r="G365" s="31">
        <v>42.798000000000002</v>
      </c>
      <c r="I365" s="2">
        <f>VLOOKUP(C365,[1]Sheet1!$C:$G,5,FALSE)</f>
        <v>40.76</v>
      </c>
      <c r="J365" s="33">
        <f t="shared" si="6"/>
        <v>5.0000000000000093E-2</v>
      </c>
    </row>
    <row r="366" spans="1:10" x14ac:dyDescent="0.3">
      <c r="A366" s="7" t="s">
        <v>4</v>
      </c>
      <c r="B366" s="8" t="s">
        <v>238</v>
      </c>
      <c r="C366" s="17" t="s">
        <v>297</v>
      </c>
      <c r="D366" s="6">
        <v>5056003709049</v>
      </c>
      <c r="E366" s="18" t="s">
        <v>298</v>
      </c>
      <c r="F366" s="12" t="s">
        <v>85</v>
      </c>
      <c r="G366" s="31">
        <v>29.442</v>
      </c>
      <c r="I366" s="2">
        <f>VLOOKUP(C366,[1]Sheet1!$C:$G,5,FALSE)</f>
        <v>28.04</v>
      </c>
      <c r="J366" s="33">
        <f t="shared" si="6"/>
        <v>5.0000000000000037E-2</v>
      </c>
    </row>
    <row r="367" spans="1:10" x14ac:dyDescent="0.3">
      <c r="A367" s="7" t="s">
        <v>4</v>
      </c>
      <c r="B367" s="8" t="s">
        <v>93</v>
      </c>
      <c r="C367" s="17" t="s">
        <v>171</v>
      </c>
      <c r="D367" s="6">
        <v>5056003709360</v>
      </c>
      <c r="E367" s="18" t="s">
        <v>172</v>
      </c>
      <c r="F367" s="12" t="s">
        <v>48</v>
      </c>
      <c r="G367" s="31">
        <v>26.775000000000002</v>
      </c>
      <c r="I367" s="2">
        <f>VLOOKUP(C367,[1]Sheet1!$C:$G,5,FALSE)</f>
        <v>25.5</v>
      </c>
      <c r="J367" s="33">
        <f t="shared" si="6"/>
        <v>5.0000000000000086E-2</v>
      </c>
    </row>
    <row r="368" spans="1:10" x14ac:dyDescent="0.3">
      <c r="A368" s="7" t="s">
        <v>4</v>
      </c>
      <c r="B368" s="8" t="s">
        <v>1908</v>
      </c>
      <c r="C368" s="15" t="s">
        <v>299</v>
      </c>
      <c r="D368" s="6">
        <v>5056003723854</v>
      </c>
      <c r="E368" s="16" t="s">
        <v>300</v>
      </c>
      <c r="F368" s="12" t="s">
        <v>48</v>
      </c>
      <c r="G368" s="31" t="s">
        <v>92</v>
      </c>
      <c r="I368" s="2" t="str">
        <f>VLOOKUP(C368,[1]Sheet1!$C:$G,5,FALSE)</f>
        <v>POA</v>
      </c>
      <c r="J368" s="33"/>
    </row>
    <row r="369" spans="1:10" x14ac:dyDescent="0.3">
      <c r="A369" s="7" t="s">
        <v>4</v>
      </c>
      <c r="B369" s="8" t="s">
        <v>93</v>
      </c>
      <c r="C369" s="15" t="s">
        <v>301</v>
      </c>
      <c r="D369" s="6">
        <v>5056003709261</v>
      </c>
      <c r="E369" s="16" t="s">
        <v>302</v>
      </c>
      <c r="F369" s="12" t="s">
        <v>48</v>
      </c>
      <c r="G369" s="31" t="s">
        <v>92</v>
      </c>
      <c r="I369" s="2" t="str">
        <f>VLOOKUP(C369,[1]Sheet1!$C:$G,5,FALSE)</f>
        <v>POA</v>
      </c>
      <c r="J369" s="33"/>
    </row>
    <row r="370" spans="1:10" x14ac:dyDescent="0.3">
      <c r="A370" s="7" t="s">
        <v>4</v>
      </c>
      <c r="B370" s="8" t="s">
        <v>93</v>
      </c>
      <c r="C370" s="17" t="s">
        <v>173</v>
      </c>
      <c r="D370" s="6">
        <v>5056003709476</v>
      </c>
      <c r="E370" s="18" t="s">
        <v>174</v>
      </c>
      <c r="F370" s="12" t="s">
        <v>48</v>
      </c>
      <c r="G370" s="31">
        <v>187.32000000000002</v>
      </c>
      <c r="I370" s="2">
        <f>VLOOKUP(C370,[1]Sheet1!$C:$G,5,FALSE)</f>
        <v>178.4</v>
      </c>
      <c r="J370" s="33">
        <f t="shared" si="6"/>
        <v>5.0000000000000086E-2</v>
      </c>
    </row>
    <row r="371" spans="1:10" x14ac:dyDescent="0.3">
      <c r="A371" s="7" t="s">
        <v>4</v>
      </c>
      <c r="B371" s="8" t="s">
        <v>93</v>
      </c>
      <c r="C371" s="15" t="s">
        <v>303</v>
      </c>
      <c r="D371" s="6">
        <v>5056003723861</v>
      </c>
      <c r="E371" s="16" t="s">
        <v>304</v>
      </c>
      <c r="F371" s="12" t="s">
        <v>48</v>
      </c>
      <c r="G371" s="31" t="s">
        <v>92</v>
      </c>
      <c r="I371" s="2" t="str">
        <f>VLOOKUP(C371,[1]Sheet1!$C:$G,5,FALSE)</f>
        <v>POA</v>
      </c>
      <c r="J371" s="33"/>
    </row>
    <row r="372" spans="1:10" x14ac:dyDescent="0.3">
      <c r="A372" s="7" t="s">
        <v>4</v>
      </c>
      <c r="B372" s="8" t="s">
        <v>93</v>
      </c>
      <c r="C372" s="15" t="s">
        <v>305</v>
      </c>
      <c r="D372" s="6">
        <v>5056003723878</v>
      </c>
      <c r="E372" s="16" t="s">
        <v>306</v>
      </c>
      <c r="F372" s="12" t="s">
        <v>307</v>
      </c>
      <c r="G372" s="31" t="s">
        <v>92</v>
      </c>
      <c r="I372" s="2" t="str">
        <f>VLOOKUP(C372,[1]Sheet1!$C:$G,5,FALSE)</f>
        <v>POA</v>
      </c>
      <c r="J372" s="33"/>
    </row>
    <row r="373" spans="1:10" x14ac:dyDescent="0.3">
      <c r="A373" s="7" t="s">
        <v>4</v>
      </c>
      <c r="B373" s="8" t="s">
        <v>93</v>
      </c>
      <c r="C373" s="15" t="s">
        <v>308</v>
      </c>
      <c r="D373" s="6">
        <v>5056003709339</v>
      </c>
      <c r="E373" s="16" t="s">
        <v>277</v>
      </c>
      <c r="F373" s="12" t="s">
        <v>48</v>
      </c>
      <c r="G373" s="31" t="s">
        <v>92</v>
      </c>
      <c r="I373" s="2" t="str">
        <f>VLOOKUP(C373,[1]Sheet1!$C:$G,5,FALSE)</f>
        <v>POA</v>
      </c>
      <c r="J373" s="33"/>
    </row>
    <row r="374" spans="1:10" x14ac:dyDescent="0.3">
      <c r="A374" s="7" t="s">
        <v>4</v>
      </c>
      <c r="B374" s="8" t="s">
        <v>93</v>
      </c>
      <c r="C374" s="17" t="s">
        <v>175</v>
      </c>
      <c r="D374" s="6">
        <v>5056003709346</v>
      </c>
      <c r="E374" s="18" t="s">
        <v>169</v>
      </c>
      <c r="F374" s="12" t="s">
        <v>48</v>
      </c>
      <c r="G374" s="31">
        <v>963.375</v>
      </c>
      <c r="I374" s="2">
        <f>VLOOKUP(C374,[1]Sheet1!$C:$G,5,FALSE)</f>
        <v>917.5</v>
      </c>
      <c r="J374" s="33">
        <f t="shared" si="6"/>
        <v>0.05</v>
      </c>
    </row>
    <row r="375" spans="1:10" x14ac:dyDescent="0.3">
      <c r="A375" s="7" t="s">
        <v>4</v>
      </c>
      <c r="B375" s="8" t="s">
        <v>53</v>
      </c>
      <c r="C375" s="17" t="s">
        <v>80</v>
      </c>
      <c r="D375" s="6">
        <v>5056003709308</v>
      </c>
      <c r="E375" s="18" t="s">
        <v>81</v>
      </c>
      <c r="F375" s="12" t="s">
        <v>48</v>
      </c>
      <c r="G375" s="31">
        <v>8.0325000000000006</v>
      </c>
      <c r="I375" s="2">
        <f>VLOOKUP(C375,[1]Sheet1!$C:$G,5,FALSE)</f>
        <v>7.65</v>
      </c>
      <c r="J375" s="33">
        <f t="shared" si="6"/>
        <v>5.0000000000000037E-2</v>
      </c>
    </row>
    <row r="376" spans="1:10" x14ac:dyDescent="0.3">
      <c r="A376" s="7" t="s">
        <v>4</v>
      </c>
      <c r="B376" s="8" t="s">
        <v>53</v>
      </c>
      <c r="C376" s="17" t="s">
        <v>82</v>
      </c>
      <c r="D376" s="6">
        <v>5056003709315</v>
      </c>
      <c r="E376" s="18" t="s">
        <v>78</v>
      </c>
      <c r="F376" s="12" t="s">
        <v>48</v>
      </c>
      <c r="G376" s="31">
        <v>4.0215000000000005</v>
      </c>
      <c r="I376" s="2">
        <f>VLOOKUP(C376,[1]Sheet1!$C:$G,5,FALSE)</f>
        <v>3.83</v>
      </c>
      <c r="J376" s="33">
        <f t="shared" si="6"/>
        <v>5.0000000000000114E-2</v>
      </c>
    </row>
    <row r="377" spans="1:10" x14ac:dyDescent="0.3">
      <c r="A377" s="7" t="s">
        <v>4</v>
      </c>
      <c r="B377" s="8" t="s">
        <v>93</v>
      </c>
      <c r="C377" s="15" t="s">
        <v>309</v>
      </c>
      <c r="D377" s="6">
        <v>5056003709247</v>
      </c>
      <c r="E377" s="16" t="s">
        <v>310</v>
      </c>
      <c r="F377" s="12" t="s">
        <v>307</v>
      </c>
      <c r="G377" s="31" t="s">
        <v>92</v>
      </c>
      <c r="I377" s="2" t="str">
        <f>VLOOKUP(C377,[1]Sheet1!$C:$G,5,FALSE)</f>
        <v>POA</v>
      </c>
      <c r="J377" s="33"/>
    </row>
    <row r="378" spans="1:10" x14ac:dyDescent="0.3">
      <c r="A378" s="7" t="s">
        <v>4</v>
      </c>
      <c r="B378" s="8" t="s">
        <v>93</v>
      </c>
      <c r="C378" s="15" t="s">
        <v>311</v>
      </c>
      <c r="D378" s="6">
        <v>5056003723885</v>
      </c>
      <c r="E378" s="16" t="s">
        <v>304</v>
      </c>
      <c r="F378" s="12" t="s">
        <v>50</v>
      </c>
      <c r="G378" s="31" t="s">
        <v>92</v>
      </c>
      <c r="I378" s="2" t="str">
        <f>VLOOKUP(C378,[1]Sheet1!$C:$G,5,FALSE)</f>
        <v>POA</v>
      </c>
      <c r="J378" s="33"/>
    </row>
    <row r="379" spans="1:10" x14ac:dyDescent="0.3">
      <c r="A379" s="7" t="s">
        <v>4</v>
      </c>
      <c r="B379" s="8" t="s">
        <v>93</v>
      </c>
      <c r="C379" s="17" t="s">
        <v>176</v>
      </c>
      <c r="D379" s="6">
        <v>5056003708967</v>
      </c>
      <c r="E379" s="18" t="s">
        <v>174</v>
      </c>
      <c r="F379" s="12" t="s">
        <v>52</v>
      </c>
      <c r="G379" s="31">
        <v>165.9</v>
      </c>
      <c r="I379" s="2">
        <f>VLOOKUP(C379,[1]Sheet1!$C:$G,5,FALSE)</f>
        <v>158</v>
      </c>
      <c r="J379" s="33">
        <f t="shared" si="6"/>
        <v>5.0000000000000037E-2</v>
      </c>
    </row>
    <row r="380" spans="1:10" x14ac:dyDescent="0.3">
      <c r="A380" s="7" t="s">
        <v>4</v>
      </c>
      <c r="B380" s="8" t="s">
        <v>93</v>
      </c>
      <c r="C380" s="15" t="s">
        <v>312</v>
      </c>
      <c r="D380" s="6">
        <v>5056003723892</v>
      </c>
      <c r="E380" s="16" t="s">
        <v>304</v>
      </c>
      <c r="F380" s="12" t="s">
        <v>52</v>
      </c>
      <c r="G380" s="31" t="s">
        <v>92</v>
      </c>
      <c r="I380" s="2" t="str">
        <f>VLOOKUP(C380,[1]Sheet1!$C:$G,5,FALSE)</f>
        <v>POA</v>
      </c>
      <c r="J380" s="33"/>
    </row>
    <row r="381" spans="1:10" x14ac:dyDescent="0.3">
      <c r="A381" s="7" t="s">
        <v>4</v>
      </c>
      <c r="B381" s="8" t="s">
        <v>1908</v>
      </c>
      <c r="C381" s="15" t="s">
        <v>313</v>
      </c>
      <c r="D381" s="6">
        <v>5056003723908</v>
      </c>
      <c r="E381" s="16" t="s">
        <v>314</v>
      </c>
      <c r="F381" s="12" t="s">
        <v>48</v>
      </c>
      <c r="G381" s="31">
        <v>62.6325</v>
      </c>
      <c r="I381" s="2">
        <f>VLOOKUP(C381,[1]Sheet1!$C:$G,5,FALSE)</f>
        <v>59.65</v>
      </c>
      <c r="J381" s="33">
        <f t="shared" si="6"/>
        <v>5.0000000000000031E-2</v>
      </c>
    </row>
    <row r="382" spans="1:10" x14ac:dyDescent="0.3">
      <c r="A382" s="7" t="s">
        <v>4</v>
      </c>
      <c r="B382" s="8" t="s">
        <v>1908</v>
      </c>
      <c r="C382" s="15" t="s">
        <v>315</v>
      </c>
      <c r="D382" s="6">
        <v>5056003723915</v>
      </c>
      <c r="E382" s="16" t="s">
        <v>316</v>
      </c>
      <c r="F382" s="12" t="s">
        <v>52</v>
      </c>
      <c r="G382" s="31" t="s">
        <v>92</v>
      </c>
      <c r="I382" s="2" t="str">
        <f>VLOOKUP(C382,[1]Sheet1!$C:$G,5,FALSE)</f>
        <v>POA</v>
      </c>
      <c r="J382" s="33"/>
    </row>
    <row r="383" spans="1:10" x14ac:dyDescent="0.3">
      <c r="A383" s="7" t="s">
        <v>4</v>
      </c>
      <c r="B383" s="8" t="s">
        <v>93</v>
      </c>
      <c r="C383" s="15" t="s">
        <v>317</v>
      </c>
      <c r="D383" s="6">
        <v>5056003708790</v>
      </c>
      <c r="E383" s="16" t="s">
        <v>318</v>
      </c>
      <c r="F383" s="12" t="s">
        <v>52</v>
      </c>
      <c r="G383" s="31" t="s">
        <v>92</v>
      </c>
      <c r="I383" s="2" t="str">
        <f>VLOOKUP(C383,[1]Sheet1!$C:$G,5,FALSE)</f>
        <v>POA</v>
      </c>
      <c r="J383" s="33"/>
    </row>
    <row r="384" spans="1:10" x14ac:dyDescent="0.3">
      <c r="A384" s="7" t="s">
        <v>4</v>
      </c>
      <c r="B384" s="8" t="s">
        <v>93</v>
      </c>
      <c r="C384" s="15" t="s">
        <v>319</v>
      </c>
      <c r="D384" s="6">
        <v>5056003708820</v>
      </c>
      <c r="E384" s="16" t="s">
        <v>320</v>
      </c>
      <c r="F384" s="12" t="s">
        <v>52</v>
      </c>
      <c r="G384" s="31" t="s">
        <v>92</v>
      </c>
      <c r="I384" s="2" t="str">
        <f>VLOOKUP(C384,[1]Sheet1!$C:$G,5,FALSE)</f>
        <v>POA</v>
      </c>
      <c r="J384" s="33"/>
    </row>
    <row r="385" spans="1:10" x14ac:dyDescent="0.3">
      <c r="A385" s="7" t="s">
        <v>4</v>
      </c>
      <c r="B385" s="8" t="s">
        <v>203</v>
      </c>
      <c r="C385" s="17" t="s">
        <v>211</v>
      </c>
      <c r="D385" s="6">
        <v>5056003709292</v>
      </c>
      <c r="E385" s="18" t="s">
        <v>212</v>
      </c>
      <c r="F385" s="12" t="s">
        <v>48</v>
      </c>
      <c r="G385" s="31">
        <v>642.28500000000008</v>
      </c>
      <c r="I385" s="2">
        <f>VLOOKUP(C385,[1]Sheet1!$C:$G,5,FALSE)</f>
        <v>611.70000000000005</v>
      </c>
      <c r="J385" s="33">
        <f t="shared" si="6"/>
        <v>5.0000000000000058E-2</v>
      </c>
    </row>
    <row r="386" spans="1:10" x14ac:dyDescent="0.3">
      <c r="A386" s="7" t="s">
        <v>4</v>
      </c>
      <c r="B386" s="8" t="s">
        <v>1908</v>
      </c>
      <c r="C386" s="15" t="s">
        <v>321</v>
      </c>
      <c r="D386" s="6">
        <v>5056003723939</v>
      </c>
      <c r="E386" s="16" t="s">
        <v>322</v>
      </c>
      <c r="F386" s="12" t="s">
        <v>48</v>
      </c>
      <c r="G386" s="31">
        <v>128.625</v>
      </c>
      <c r="I386" s="2">
        <f>VLOOKUP(C386,[1]Sheet1!$C:$G,5,FALSE)</f>
        <v>122.5</v>
      </c>
      <c r="J386" s="33">
        <f t="shared" si="6"/>
        <v>0.05</v>
      </c>
    </row>
    <row r="387" spans="1:10" x14ac:dyDescent="0.3">
      <c r="A387" s="7" t="s">
        <v>4</v>
      </c>
      <c r="B387" s="8" t="s">
        <v>1908</v>
      </c>
      <c r="C387" s="15" t="s">
        <v>323</v>
      </c>
      <c r="D387" s="6">
        <v>5056003723946</v>
      </c>
      <c r="E387" s="16" t="s">
        <v>273</v>
      </c>
      <c r="F387" s="12" t="s">
        <v>48</v>
      </c>
      <c r="G387" s="31">
        <v>160.755</v>
      </c>
      <c r="I387" s="2">
        <f>VLOOKUP(C387,[1]Sheet1!$C:$G,5,FALSE)</f>
        <v>153.1</v>
      </c>
      <c r="J387" s="33">
        <f t="shared" si="6"/>
        <v>5.000000000000001E-2</v>
      </c>
    </row>
    <row r="388" spans="1:10" x14ac:dyDescent="0.3">
      <c r="A388" s="7" t="s">
        <v>4</v>
      </c>
      <c r="B388" s="8" t="s">
        <v>93</v>
      </c>
      <c r="C388" s="17" t="s">
        <v>177</v>
      </c>
      <c r="D388" s="6">
        <v>5056003709179</v>
      </c>
      <c r="E388" s="18" t="s">
        <v>178</v>
      </c>
      <c r="F388" s="12" t="s">
        <v>85</v>
      </c>
      <c r="G388" s="31">
        <v>45.486000000000004</v>
      </c>
      <c r="I388" s="2">
        <f>VLOOKUP(C388,[1]Sheet1!$C:$G,5,FALSE)</f>
        <v>43.32</v>
      </c>
      <c r="J388" s="33">
        <f t="shared" si="6"/>
        <v>5.0000000000000093E-2</v>
      </c>
    </row>
    <row r="389" spans="1:10" x14ac:dyDescent="0.3">
      <c r="A389" s="7" t="s">
        <v>4</v>
      </c>
      <c r="B389" s="8" t="s">
        <v>192</v>
      </c>
      <c r="C389" s="17" t="s">
        <v>199</v>
      </c>
      <c r="D389" s="6">
        <v>5056003709278</v>
      </c>
      <c r="E389" s="18" t="s">
        <v>200</v>
      </c>
      <c r="F389" s="12" t="s">
        <v>48</v>
      </c>
      <c r="G389" s="31">
        <v>133.875</v>
      </c>
      <c r="I389" s="2">
        <f>VLOOKUP(C389,[1]Sheet1!$C:$G,5,FALSE)</f>
        <v>127.5</v>
      </c>
      <c r="J389" s="33">
        <f t="shared" si="6"/>
        <v>0.05</v>
      </c>
    </row>
    <row r="390" spans="1:10" x14ac:dyDescent="0.3">
      <c r="A390" s="7" t="s">
        <v>4</v>
      </c>
      <c r="B390" s="8" t="s">
        <v>93</v>
      </c>
      <c r="C390" s="15" t="s">
        <v>324</v>
      </c>
      <c r="D390" s="6">
        <v>5056003709407</v>
      </c>
      <c r="E390" s="16" t="s">
        <v>271</v>
      </c>
      <c r="F390" s="12" t="s">
        <v>48</v>
      </c>
      <c r="G390" s="31">
        <v>830.44500000000005</v>
      </c>
      <c r="I390" s="2">
        <f>VLOOKUP(C390,[1]Sheet1!$C:$G,5,FALSE)</f>
        <v>790.9</v>
      </c>
      <c r="J390" s="33">
        <f t="shared" si="6"/>
        <v>5.0000000000000093E-2</v>
      </c>
    </row>
    <row r="391" spans="1:10" x14ac:dyDescent="0.3">
      <c r="A391" s="7" t="s">
        <v>4</v>
      </c>
      <c r="B391" s="8" t="s">
        <v>93</v>
      </c>
      <c r="C391" s="17" t="s">
        <v>179</v>
      </c>
      <c r="D391" s="6">
        <v>5056003708974</v>
      </c>
      <c r="E391" s="18" t="s">
        <v>180</v>
      </c>
      <c r="F391" s="12" t="s">
        <v>89</v>
      </c>
      <c r="G391" s="31">
        <v>32.130000000000003</v>
      </c>
      <c r="I391" s="2">
        <f>VLOOKUP(C391,[1]Sheet1!$C:$G,5,FALSE)</f>
        <v>30.6</v>
      </c>
      <c r="J391" s="33">
        <f t="shared" si="6"/>
        <v>5.0000000000000037E-2</v>
      </c>
    </row>
    <row r="392" spans="1:10" x14ac:dyDescent="0.3">
      <c r="A392" s="7" t="s">
        <v>4</v>
      </c>
      <c r="B392" s="8" t="s">
        <v>53</v>
      </c>
      <c r="C392" s="17" t="s">
        <v>83</v>
      </c>
      <c r="D392" s="6">
        <v>5056003709063</v>
      </c>
      <c r="E392" s="18" t="s">
        <v>84</v>
      </c>
      <c r="F392" s="12" t="s">
        <v>85</v>
      </c>
      <c r="G392" s="31">
        <v>21.441000000000003</v>
      </c>
      <c r="I392" s="2">
        <f>VLOOKUP(C392,[1]Sheet1!$C:$G,5,FALSE)</f>
        <v>20.420000000000002</v>
      </c>
      <c r="J392" s="33">
        <f t="shared" si="6"/>
        <v>5.0000000000000037E-2</v>
      </c>
    </row>
    <row r="393" spans="1:10" x14ac:dyDescent="0.3">
      <c r="A393" s="7" t="s">
        <v>4</v>
      </c>
      <c r="B393" s="8" t="s">
        <v>238</v>
      </c>
      <c r="C393" s="17" t="s">
        <v>325</v>
      </c>
      <c r="D393" s="6">
        <v>5056003708776</v>
      </c>
      <c r="E393" s="18" t="s">
        <v>326</v>
      </c>
      <c r="F393" s="12" t="s">
        <v>89</v>
      </c>
      <c r="G393" s="31">
        <v>26.775000000000002</v>
      </c>
      <c r="I393" s="2">
        <f>VLOOKUP(C393,[1]Sheet1!$C:$G,5,FALSE)</f>
        <v>25.5</v>
      </c>
      <c r="J393" s="33">
        <f t="shared" si="6"/>
        <v>5.0000000000000086E-2</v>
      </c>
    </row>
    <row r="394" spans="1:10" x14ac:dyDescent="0.3">
      <c r="A394" s="7" t="s">
        <v>4</v>
      </c>
      <c r="B394" s="8" t="s">
        <v>93</v>
      </c>
      <c r="C394" s="15" t="s">
        <v>327</v>
      </c>
      <c r="D394" s="6">
        <v>5056003709384</v>
      </c>
      <c r="E394" s="16" t="s">
        <v>328</v>
      </c>
      <c r="F394" s="12" t="s">
        <v>48</v>
      </c>
      <c r="G394" s="31">
        <v>174.09000000000003</v>
      </c>
      <c r="I394" s="2">
        <f>VLOOKUP(C394,[1]Sheet1!$C:$G,5,FALSE)</f>
        <v>165.8</v>
      </c>
      <c r="J394" s="33">
        <f t="shared" si="6"/>
        <v>5.0000000000000121E-2</v>
      </c>
    </row>
    <row r="395" spans="1:10" x14ac:dyDescent="0.3">
      <c r="A395" s="7" t="s">
        <v>4</v>
      </c>
      <c r="B395" s="8" t="s">
        <v>220</v>
      </c>
      <c r="C395" s="17" t="s">
        <v>235</v>
      </c>
      <c r="D395" s="6">
        <v>5056003709391</v>
      </c>
      <c r="E395" s="18" t="s">
        <v>236</v>
      </c>
      <c r="F395" s="12" t="s">
        <v>48</v>
      </c>
      <c r="G395" s="31">
        <v>240.87</v>
      </c>
      <c r="I395" s="2">
        <f>VLOOKUP(C395,[1]Sheet1!$C:$G,5,FALSE)</f>
        <v>229.4</v>
      </c>
      <c r="J395" s="33">
        <f t="shared" si="6"/>
        <v>4.9999999999999996E-2</v>
      </c>
    </row>
    <row r="396" spans="1:10" x14ac:dyDescent="0.3">
      <c r="A396" s="7" t="s">
        <v>4</v>
      </c>
      <c r="B396" s="8" t="s">
        <v>93</v>
      </c>
      <c r="C396" s="13" t="s">
        <v>329</v>
      </c>
      <c r="D396" s="6">
        <v>5056003709414</v>
      </c>
      <c r="E396" s="14" t="s">
        <v>330</v>
      </c>
      <c r="F396" s="12" t="s">
        <v>48</v>
      </c>
      <c r="G396" s="31" t="s">
        <v>92</v>
      </c>
      <c r="I396" s="2" t="str">
        <f>VLOOKUP(C396,[1]Sheet1!$C:$G,5,FALSE)</f>
        <v>POA</v>
      </c>
      <c r="J396" s="33"/>
    </row>
    <row r="397" spans="1:10" x14ac:dyDescent="0.3">
      <c r="A397" s="7" t="s">
        <v>4</v>
      </c>
      <c r="B397" s="8" t="s">
        <v>93</v>
      </c>
      <c r="C397" s="13" t="s">
        <v>331</v>
      </c>
      <c r="D397" s="6">
        <v>5056003709421</v>
      </c>
      <c r="E397" s="14" t="s">
        <v>332</v>
      </c>
      <c r="F397" s="12" t="s">
        <v>48</v>
      </c>
      <c r="G397" s="31" t="s">
        <v>92</v>
      </c>
      <c r="I397" s="2" t="str">
        <f>VLOOKUP(C397,[1]Sheet1!$C:$G,5,FALSE)</f>
        <v>POA</v>
      </c>
      <c r="J397" s="33"/>
    </row>
    <row r="398" spans="1:10" x14ac:dyDescent="0.3">
      <c r="A398" s="7" t="s">
        <v>4</v>
      </c>
      <c r="B398" s="8" t="s">
        <v>93</v>
      </c>
      <c r="C398" s="13" t="s">
        <v>333</v>
      </c>
      <c r="D398" s="6">
        <v>5056003709100</v>
      </c>
      <c r="E398" s="14" t="s">
        <v>334</v>
      </c>
      <c r="F398" s="12" t="s">
        <v>307</v>
      </c>
      <c r="G398" s="31" t="s">
        <v>92</v>
      </c>
      <c r="I398" s="2" t="str">
        <f>VLOOKUP(C398,[1]Sheet1!$C:$G,5,FALSE)</f>
        <v>POA</v>
      </c>
      <c r="J398" s="33"/>
    </row>
    <row r="399" spans="1:10" x14ac:dyDescent="0.3">
      <c r="A399" s="7" t="s">
        <v>4</v>
      </c>
      <c r="B399" s="8" t="s">
        <v>93</v>
      </c>
      <c r="C399" s="13" t="s">
        <v>335</v>
      </c>
      <c r="D399" s="6">
        <v>5056003709117</v>
      </c>
      <c r="E399" s="14" t="s">
        <v>336</v>
      </c>
      <c r="F399" s="12" t="s">
        <v>307</v>
      </c>
      <c r="G399" s="31" t="s">
        <v>92</v>
      </c>
      <c r="I399" s="2" t="str">
        <f>VLOOKUP(C399,[1]Sheet1!$C:$G,5,FALSE)</f>
        <v>POA</v>
      </c>
      <c r="J399" s="33"/>
    </row>
    <row r="400" spans="1:10" x14ac:dyDescent="0.3">
      <c r="A400" s="7" t="s">
        <v>4</v>
      </c>
      <c r="B400" s="8" t="s">
        <v>93</v>
      </c>
      <c r="C400" s="13" t="s">
        <v>337</v>
      </c>
      <c r="D400" s="6">
        <v>5056003709124</v>
      </c>
      <c r="E400" s="14" t="s">
        <v>338</v>
      </c>
      <c r="F400" s="12" t="s">
        <v>307</v>
      </c>
      <c r="G400" s="31" t="s">
        <v>92</v>
      </c>
      <c r="I400" s="2" t="str">
        <f>VLOOKUP(C400,[1]Sheet1!$C:$G,5,FALSE)</f>
        <v>POA</v>
      </c>
      <c r="J400" s="33"/>
    </row>
    <row r="401" spans="1:10" x14ac:dyDescent="0.3">
      <c r="A401" s="7" t="s">
        <v>4</v>
      </c>
      <c r="B401" s="8" t="s">
        <v>93</v>
      </c>
      <c r="C401" s="13" t="s">
        <v>339</v>
      </c>
      <c r="D401" s="6">
        <v>5056003709438</v>
      </c>
      <c r="E401" s="14" t="s">
        <v>340</v>
      </c>
      <c r="F401" s="12" t="s">
        <v>48</v>
      </c>
      <c r="G401" s="31" t="s">
        <v>92</v>
      </c>
      <c r="I401" s="2" t="str">
        <f>VLOOKUP(C401,[1]Sheet1!$C:$G,5,FALSE)</f>
        <v>POA</v>
      </c>
      <c r="J401" s="33"/>
    </row>
    <row r="402" spans="1:10" x14ac:dyDescent="0.3">
      <c r="A402" s="7" t="s">
        <v>4</v>
      </c>
      <c r="B402" s="8" t="s">
        <v>93</v>
      </c>
      <c r="C402" s="13" t="s">
        <v>341</v>
      </c>
      <c r="D402" s="6">
        <v>5056003709452</v>
      </c>
      <c r="E402" s="14" t="s">
        <v>342</v>
      </c>
      <c r="F402" s="12" t="s">
        <v>48</v>
      </c>
      <c r="G402" s="31" t="s">
        <v>92</v>
      </c>
      <c r="I402" s="2" t="str">
        <f>VLOOKUP(C402,[1]Sheet1!$C:$G,5,FALSE)</f>
        <v>POA</v>
      </c>
      <c r="J402" s="33"/>
    </row>
    <row r="403" spans="1:10" x14ac:dyDescent="0.3">
      <c r="A403" s="7" t="s">
        <v>4</v>
      </c>
      <c r="B403" s="8" t="s">
        <v>1908</v>
      </c>
      <c r="C403" s="13" t="s">
        <v>2164</v>
      </c>
      <c r="D403" s="6">
        <v>5056003774351</v>
      </c>
      <c r="E403" s="14" t="s">
        <v>2165</v>
      </c>
      <c r="F403" s="12" t="s">
        <v>52</v>
      </c>
      <c r="G403" s="31">
        <v>41.517000000000003</v>
      </c>
      <c r="I403" s="2">
        <f>VLOOKUP(C403,[1]Sheet1!$C:$G,5,FALSE)</f>
        <v>39.54</v>
      </c>
      <c r="J403" s="33">
        <f t="shared" si="6"/>
        <v>5.00000000000001E-2</v>
      </c>
    </row>
    <row r="404" spans="1:10" x14ac:dyDescent="0.3">
      <c r="A404" s="7" t="s">
        <v>4</v>
      </c>
      <c r="B404" s="8" t="s">
        <v>203</v>
      </c>
      <c r="C404" s="10" t="s">
        <v>214</v>
      </c>
      <c r="D404" s="6">
        <v>5056003708738</v>
      </c>
      <c r="E404" s="11" t="s">
        <v>215</v>
      </c>
      <c r="F404" s="12" t="s">
        <v>52</v>
      </c>
      <c r="G404" s="31">
        <v>441.52500000000003</v>
      </c>
      <c r="I404" s="2">
        <f>VLOOKUP(C404,[1]Sheet1!$C:$G,5,FALSE)</f>
        <v>420.5</v>
      </c>
      <c r="J404" s="33">
        <f t="shared" si="6"/>
        <v>5.0000000000000079E-2</v>
      </c>
    </row>
    <row r="405" spans="1:10" x14ac:dyDescent="0.3">
      <c r="A405" s="7" t="s">
        <v>4</v>
      </c>
      <c r="B405" s="8" t="s">
        <v>220</v>
      </c>
      <c r="C405" s="13" t="s">
        <v>343</v>
      </c>
      <c r="D405" s="6">
        <v>5056003708646</v>
      </c>
      <c r="E405" s="14" t="s">
        <v>236</v>
      </c>
      <c r="F405" s="12" t="s">
        <v>52</v>
      </c>
      <c r="G405" s="31">
        <v>241.08</v>
      </c>
      <c r="I405" s="2">
        <f>VLOOKUP(C405,[1]Sheet1!$C:$G,5,FALSE)</f>
        <v>229.6</v>
      </c>
      <c r="J405" s="33">
        <f t="shared" si="6"/>
        <v>5.0000000000000079E-2</v>
      </c>
    </row>
    <row r="406" spans="1:10" x14ac:dyDescent="0.3">
      <c r="A406" s="7" t="s">
        <v>4</v>
      </c>
      <c r="B406" s="8" t="s">
        <v>93</v>
      </c>
      <c r="C406" s="13" t="s">
        <v>344</v>
      </c>
      <c r="D406" s="6">
        <v>5056003708950</v>
      </c>
      <c r="E406" s="14" t="s">
        <v>345</v>
      </c>
      <c r="F406" s="12" t="s">
        <v>52</v>
      </c>
      <c r="G406" s="31" t="s">
        <v>92</v>
      </c>
      <c r="I406" s="2" t="str">
        <f>VLOOKUP(C406,[1]Sheet1!$C:$G,5,FALSE)</f>
        <v>POA</v>
      </c>
      <c r="J406" s="33"/>
    </row>
    <row r="407" spans="1:10" x14ac:dyDescent="0.3">
      <c r="A407" s="7" t="s">
        <v>4</v>
      </c>
      <c r="B407" s="8" t="s">
        <v>93</v>
      </c>
      <c r="C407" s="13" t="s">
        <v>346</v>
      </c>
      <c r="D407" s="6">
        <v>5056003708837</v>
      </c>
      <c r="E407" s="14" t="s">
        <v>347</v>
      </c>
      <c r="F407" s="12" t="s">
        <v>52</v>
      </c>
      <c r="G407" s="31" t="s">
        <v>92</v>
      </c>
      <c r="I407" s="2" t="str">
        <f>VLOOKUP(C407,[1]Sheet1!$C:$G,5,FALSE)</f>
        <v>POA</v>
      </c>
      <c r="J407" s="33"/>
    </row>
    <row r="408" spans="1:10" x14ac:dyDescent="0.3">
      <c r="A408" s="7" t="s">
        <v>4</v>
      </c>
      <c r="B408" s="8" t="s">
        <v>93</v>
      </c>
      <c r="C408" s="13" t="s">
        <v>348</v>
      </c>
      <c r="D408" s="6">
        <v>5056003708844</v>
      </c>
      <c r="E408" s="14" t="s">
        <v>349</v>
      </c>
      <c r="F408" s="12" t="s">
        <v>52</v>
      </c>
      <c r="G408" s="31" t="s">
        <v>92</v>
      </c>
      <c r="I408" s="2" t="str">
        <f>VLOOKUP(C408,[1]Sheet1!$C:$G,5,FALSE)</f>
        <v>POA</v>
      </c>
      <c r="J408" s="33"/>
    </row>
    <row r="409" spans="1:10" x14ac:dyDescent="0.3">
      <c r="A409" s="7" t="s">
        <v>4</v>
      </c>
      <c r="B409" s="8" t="s">
        <v>203</v>
      </c>
      <c r="C409" s="10" t="s">
        <v>216</v>
      </c>
      <c r="D409" s="6">
        <v>5056003709186</v>
      </c>
      <c r="E409" s="11" t="s">
        <v>217</v>
      </c>
      <c r="F409" s="12" t="s">
        <v>50</v>
      </c>
      <c r="G409" s="31">
        <v>428.19000000000005</v>
      </c>
      <c r="I409" s="2">
        <f>VLOOKUP(C409,[1]Sheet1!$C:$G,5,FALSE)</f>
        <v>407.8</v>
      </c>
      <c r="J409" s="33">
        <f t="shared" si="6"/>
        <v>5.0000000000000107E-2</v>
      </c>
    </row>
    <row r="410" spans="1:10" x14ac:dyDescent="0.3">
      <c r="A410" s="7" t="s">
        <v>4</v>
      </c>
      <c r="B410" s="8" t="s">
        <v>1908</v>
      </c>
      <c r="C410" s="13" t="s">
        <v>350</v>
      </c>
      <c r="D410" s="6">
        <v>5056003723953</v>
      </c>
      <c r="E410" s="14" t="s">
        <v>314</v>
      </c>
      <c r="F410" s="12" t="s">
        <v>50</v>
      </c>
      <c r="G410" s="31" t="s">
        <v>92</v>
      </c>
      <c r="I410" s="2" t="str">
        <f>VLOOKUP(C410,[1]Sheet1!$C:$G,5,FALSE)</f>
        <v>POA</v>
      </c>
      <c r="J410" s="33"/>
    </row>
    <row r="411" spans="1:10" x14ac:dyDescent="0.3">
      <c r="A411" s="7" t="s">
        <v>4</v>
      </c>
      <c r="B411" s="8" t="s">
        <v>93</v>
      </c>
      <c r="C411" s="13" t="s">
        <v>351</v>
      </c>
      <c r="D411" s="6">
        <v>5056003723960</v>
      </c>
      <c r="E411" s="14" t="s">
        <v>273</v>
      </c>
      <c r="F411" s="12" t="s">
        <v>50</v>
      </c>
      <c r="G411" s="31">
        <v>107.10000000000001</v>
      </c>
      <c r="I411" s="2">
        <f>VLOOKUP(C411,[1]Sheet1!$C:$G,5,FALSE)</f>
        <v>102</v>
      </c>
      <c r="J411" s="33">
        <f t="shared" si="6"/>
        <v>5.0000000000000086E-2</v>
      </c>
    </row>
    <row r="412" spans="1:10" x14ac:dyDescent="0.3">
      <c r="A412" s="7" t="s">
        <v>4</v>
      </c>
      <c r="B412" s="8" t="s">
        <v>93</v>
      </c>
      <c r="C412" s="13" t="s">
        <v>352</v>
      </c>
      <c r="D412" s="6">
        <v>5056003709018</v>
      </c>
      <c r="E412" s="14" t="s">
        <v>302</v>
      </c>
      <c r="F412" s="12" t="s">
        <v>50</v>
      </c>
      <c r="G412" s="31" t="s">
        <v>92</v>
      </c>
      <c r="I412" s="2" t="str">
        <f>VLOOKUP(C412,[1]Sheet1!$C:$G,5,FALSE)</f>
        <v>POA</v>
      </c>
      <c r="J412" s="33"/>
    </row>
    <row r="413" spans="1:10" x14ac:dyDescent="0.3">
      <c r="A413" s="7" t="s">
        <v>4</v>
      </c>
      <c r="B413" s="8" t="s">
        <v>93</v>
      </c>
      <c r="C413" s="10" t="s">
        <v>181</v>
      </c>
      <c r="D413" s="6">
        <v>5056003709254</v>
      </c>
      <c r="E413" s="11" t="s">
        <v>174</v>
      </c>
      <c r="F413" s="12" t="s">
        <v>50</v>
      </c>
      <c r="G413" s="31">
        <v>187.32000000000002</v>
      </c>
      <c r="I413" s="2">
        <f>VLOOKUP(C413,[1]Sheet1!$C:$G,5,FALSE)</f>
        <v>178.4</v>
      </c>
      <c r="J413" s="33">
        <f t="shared" si="6"/>
        <v>5.0000000000000086E-2</v>
      </c>
    </row>
    <row r="414" spans="1:10" x14ac:dyDescent="0.3">
      <c r="A414" s="7" t="s">
        <v>4</v>
      </c>
      <c r="B414" s="8" t="s">
        <v>93</v>
      </c>
      <c r="C414" s="13" t="s">
        <v>353</v>
      </c>
      <c r="D414" s="6">
        <v>5056003709070</v>
      </c>
      <c r="E414" s="14" t="s">
        <v>271</v>
      </c>
      <c r="F414" s="12" t="s">
        <v>50</v>
      </c>
      <c r="G414" s="31">
        <v>750.01499999999999</v>
      </c>
      <c r="I414" s="2">
        <f>VLOOKUP(C414,[1]Sheet1!$C:$G,5,FALSE)</f>
        <v>714.3</v>
      </c>
      <c r="J414" s="33">
        <f t="shared" si="6"/>
        <v>5.0000000000000044E-2</v>
      </c>
    </row>
    <row r="415" spans="1:10" x14ac:dyDescent="0.3">
      <c r="A415" s="7" t="s">
        <v>4</v>
      </c>
      <c r="B415" s="8" t="s">
        <v>192</v>
      </c>
      <c r="C415" s="10" t="s">
        <v>201</v>
      </c>
      <c r="D415" s="6">
        <v>5056003709001</v>
      </c>
      <c r="E415" s="11" t="s">
        <v>200</v>
      </c>
      <c r="F415" s="12" t="s">
        <v>50</v>
      </c>
      <c r="G415" s="31">
        <v>147.21</v>
      </c>
      <c r="I415" s="2">
        <f>VLOOKUP(C415,[1]Sheet1!$C:$G,5,FALSE)</f>
        <v>140.19999999999999</v>
      </c>
      <c r="J415" s="33">
        <f t="shared" si="6"/>
        <v>5.0000000000000142E-2</v>
      </c>
    </row>
    <row r="416" spans="1:10" x14ac:dyDescent="0.3">
      <c r="A416" s="7" t="s">
        <v>4</v>
      </c>
      <c r="B416" s="8" t="s">
        <v>238</v>
      </c>
      <c r="C416" s="10" t="s">
        <v>354</v>
      </c>
      <c r="D416" s="6">
        <v>5056003709032</v>
      </c>
      <c r="E416" s="11" t="s">
        <v>296</v>
      </c>
      <c r="F416" s="12" t="s">
        <v>50</v>
      </c>
      <c r="G416" s="31">
        <v>42.798000000000002</v>
      </c>
      <c r="I416" s="2">
        <f>VLOOKUP(C416,[1]Sheet1!$C:$G,5,FALSE)</f>
        <v>40.76</v>
      </c>
      <c r="J416" s="33">
        <f t="shared" si="6"/>
        <v>5.0000000000000093E-2</v>
      </c>
    </row>
    <row r="417" spans="1:10" x14ac:dyDescent="0.3">
      <c r="A417" s="7" t="s">
        <v>4</v>
      </c>
      <c r="B417" s="8" t="s">
        <v>220</v>
      </c>
      <c r="C417" s="10" t="s">
        <v>237</v>
      </c>
      <c r="D417" s="6">
        <v>5056003709087</v>
      </c>
      <c r="E417" s="11" t="s">
        <v>236</v>
      </c>
      <c r="F417" s="12" t="s">
        <v>50</v>
      </c>
      <c r="G417" s="31">
        <v>240.87</v>
      </c>
      <c r="I417" s="2">
        <f>VLOOKUP(C417,[1]Sheet1!$C:$G,5,FALSE)</f>
        <v>229.4</v>
      </c>
      <c r="J417" s="33">
        <f t="shared" si="6"/>
        <v>4.9999999999999996E-2</v>
      </c>
    </row>
    <row r="418" spans="1:10" x14ac:dyDescent="0.3">
      <c r="A418" s="7" t="s">
        <v>4</v>
      </c>
      <c r="B418" s="8" t="s">
        <v>93</v>
      </c>
      <c r="C418" s="13" t="s">
        <v>355</v>
      </c>
      <c r="D418" s="6">
        <v>5056003709094</v>
      </c>
      <c r="E418" s="14" t="s">
        <v>356</v>
      </c>
      <c r="F418" s="12" t="s">
        <v>50</v>
      </c>
      <c r="G418" s="31" t="s">
        <v>92</v>
      </c>
      <c r="I418" s="2" t="str">
        <f>VLOOKUP(C418,[1]Sheet1!$C:$G,5,FALSE)</f>
        <v>POA</v>
      </c>
      <c r="J418" s="33"/>
    </row>
    <row r="419" spans="1:10" x14ac:dyDescent="0.3">
      <c r="A419" s="7" t="s">
        <v>4</v>
      </c>
      <c r="B419" s="8" t="s">
        <v>93</v>
      </c>
      <c r="C419" s="13" t="s">
        <v>357</v>
      </c>
      <c r="D419" s="6">
        <v>5056003709131</v>
      </c>
      <c r="E419" s="14" t="s">
        <v>358</v>
      </c>
      <c r="F419" s="12" t="s">
        <v>50</v>
      </c>
      <c r="G419" s="31" t="s">
        <v>92</v>
      </c>
      <c r="I419" s="2" t="str">
        <f>VLOOKUP(C419,[1]Sheet1!$C:$G,5,FALSE)</f>
        <v>POA</v>
      </c>
      <c r="J419" s="33"/>
    </row>
    <row r="420" spans="1:10" x14ac:dyDescent="0.3">
      <c r="A420" s="7" t="s">
        <v>4</v>
      </c>
      <c r="B420" s="8" t="s">
        <v>93</v>
      </c>
      <c r="C420" s="13" t="s">
        <v>359</v>
      </c>
      <c r="D420" s="6">
        <v>5056003723977</v>
      </c>
      <c r="E420" s="14" t="s">
        <v>360</v>
      </c>
      <c r="F420" s="12" t="s">
        <v>267</v>
      </c>
      <c r="G420" s="31" t="s">
        <v>92</v>
      </c>
      <c r="I420" s="2" t="str">
        <f>VLOOKUP(C420,[1]Sheet1!$C:$G,5,FALSE)</f>
        <v>POA</v>
      </c>
      <c r="J420" s="33"/>
    </row>
    <row r="421" spans="1:10" x14ac:dyDescent="0.3">
      <c r="A421" s="7" t="s">
        <v>4</v>
      </c>
      <c r="B421" s="8" t="s">
        <v>93</v>
      </c>
      <c r="C421" s="13" t="s">
        <v>361</v>
      </c>
      <c r="D421" s="6">
        <v>5056003709148</v>
      </c>
      <c r="E421" s="14" t="s">
        <v>279</v>
      </c>
      <c r="F421" s="12" t="s">
        <v>50</v>
      </c>
      <c r="G421" s="31" t="s">
        <v>92</v>
      </c>
      <c r="I421" s="2" t="str">
        <f>VLOOKUP(C421,[1]Sheet1!$C:$G,5,FALSE)</f>
        <v>POA</v>
      </c>
      <c r="J421" s="33"/>
    </row>
    <row r="422" spans="1:10" x14ac:dyDescent="0.3">
      <c r="A422" s="7" t="s">
        <v>4</v>
      </c>
      <c r="B422" s="8" t="s">
        <v>203</v>
      </c>
      <c r="C422" s="10" t="s">
        <v>218</v>
      </c>
      <c r="D422" s="6">
        <v>5056003708981</v>
      </c>
      <c r="E422" s="11" t="s">
        <v>219</v>
      </c>
      <c r="F422" s="12" t="s">
        <v>89</v>
      </c>
      <c r="G422" s="31">
        <v>133.875</v>
      </c>
      <c r="I422" s="2">
        <f>VLOOKUP(C422,[1]Sheet1!$C:$G,5,FALSE)</f>
        <v>127.5</v>
      </c>
      <c r="J422" s="33">
        <f t="shared" ref="J422:J482" si="7">(G422-I422)/I422</f>
        <v>0.05</v>
      </c>
    </row>
    <row r="423" spans="1:10" x14ac:dyDescent="0.3">
      <c r="A423" s="7" t="s">
        <v>4</v>
      </c>
      <c r="B423" s="8" t="s">
        <v>1908</v>
      </c>
      <c r="C423" s="13" t="s">
        <v>362</v>
      </c>
      <c r="D423" s="6">
        <v>5056003708547</v>
      </c>
      <c r="E423" s="14" t="s">
        <v>363</v>
      </c>
      <c r="F423" s="12" t="s">
        <v>52</v>
      </c>
      <c r="G423" s="31">
        <v>80.367000000000004</v>
      </c>
      <c r="I423" s="2">
        <f>VLOOKUP(C423,[1]Sheet1!$C:$G,5,FALSE)</f>
        <v>76.540000000000006</v>
      </c>
      <c r="J423" s="33">
        <f t="shared" si="7"/>
        <v>4.9999999999999975E-2</v>
      </c>
    </row>
    <row r="424" spans="1:10" x14ac:dyDescent="0.3">
      <c r="A424" s="7" t="s">
        <v>4</v>
      </c>
      <c r="B424" s="8" t="s">
        <v>1908</v>
      </c>
      <c r="C424" s="13" t="s">
        <v>364</v>
      </c>
      <c r="D424" s="6">
        <v>5056003723984</v>
      </c>
      <c r="E424" s="14" t="s">
        <v>365</v>
      </c>
      <c r="F424" s="12" t="s">
        <v>50</v>
      </c>
      <c r="G424" s="31">
        <v>120.54</v>
      </c>
      <c r="I424" s="2">
        <f>VLOOKUP(C424,[1]Sheet1!$C:$G,5,FALSE)</f>
        <v>114.8</v>
      </c>
      <c r="J424" s="33">
        <f t="shared" si="7"/>
        <v>5.0000000000000079E-2</v>
      </c>
    </row>
    <row r="425" spans="1:10" x14ac:dyDescent="0.3">
      <c r="A425" s="7" t="s">
        <v>4</v>
      </c>
      <c r="B425" s="8" t="s">
        <v>1908</v>
      </c>
      <c r="C425" s="13" t="s">
        <v>366</v>
      </c>
      <c r="D425" s="6">
        <v>5056003723991</v>
      </c>
      <c r="E425" s="14" t="s">
        <v>367</v>
      </c>
      <c r="F425" s="12" t="s">
        <v>50</v>
      </c>
      <c r="G425" s="31">
        <v>93.765000000000001</v>
      </c>
      <c r="I425" s="2">
        <f>VLOOKUP(C425,[1]Sheet1!$C:$G,5,FALSE)</f>
        <v>89.3</v>
      </c>
      <c r="J425" s="33">
        <f t="shared" si="7"/>
        <v>5.0000000000000037E-2</v>
      </c>
    </row>
    <row r="426" spans="1:10" x14ac:dyDescent="0.3">
      <c r="A426" s="7" t="s">
        <v>4</v>
      </c>
      <c r="B426" s="8" t="s">
        <v>1908</v>
      </c>
      <c r="C426" s="13" t="s">
        <v>368</v>
      </c>
      <c r="D426" s="6">
        <v>5056003724004</v>
      </c>
      <c r="E426" s="14" t="s">
        <v>369</v>
      </c>
      <c r="F426" s="12" t="s">
        <v>50</v>
      </c>
      <c r="G426" s="31">
        <v>80.367000000000004</v>
      </c>
      <c r="I426" s="2">
        <f>VLOOKUP(C426,[1]Sheet1!$C:$G,5,FALSE)</f>
        <v>76.540000000000006</v>
      </c>
      <c r="J426" s="33">
        <f t="shared" si="7"/>
        <v>4.9999999999999975E-2</v>
      </c>
    </row>
    <row r="427" spans="1:10" x14ac:dyDescent="0.3">
      <c r="A427" s="7" t="s">
        <v>4</v>
      </c>
      <c r="B427" s="8" t="s">
        <v>1908</v>
      </c>
      <c r="C427" s="13" t="s">
        <v>370</v>
      </c>
      <c r="D427" s="6">
        <v>5056003724011</v>
      </c>
      <c r="E427" s="14" t="s">
        <v>367</v>
      </c>
      <c r="F427" s="12" t="s">
        <v>48</v>
      </c>
      <c r="G427" s="31">
        <v>93.765000000000001</v>
      </c>
      <c r="I427" s="2">
        <f>VLOOKUP(C427,[1]Sheet1!$C:$G,5,FALSE)</f>
        <v>89.3</v>
      </c>
      <c r="J427" s="33">
        <f t="shared" si="7"/>
        <v>5.0000000000000037E-2</v>
      </c>
    </row>
    <row r="428" spans="1:10" x14ac:dyDescent="0.3">
      <c r="A428" s="7" t="s">
        <v>4</v>
      </c>
      <c r="B428" s="8" t="s">
        <v>93</v>
      </c>
      <c r="C428" s="13" t="s">
        <v>371</v>
      </c>
      <c r="D428" s="6">
        <v>5056003710052</v>
      </c>
      <c r="E428" s="14" t="s">
        <v>372</v>
      </c>
      <c r="F428" s="12"/>
      <c r="G428" s="31">
        <v>5.0819999999999999</v>
      </c>
      <c r="I428" s="2">
        <f>VLOOKUP(C428,[1]Sheet1!$C:$G,5,FALSE)</f>
        <v>4.84</v>
      </c>
      <c r="J428" s="33">
        <f t="shared" si="7"/>
        <v>0.05</v>
      </c>
    </row>
    <row r="429" spans="1:10" x14ac:dyDescent="0.3">
      <c r="A429" s="7" t="s">
        <v>4</v>
      </c>
      <c r="B429" s="8" t="s">
        <v>203</v>
      </c>
      <c r="C429" s="10" t="s">
        <v>2166</v>
      </c>
      <c r="D429" s="6">
        <v>5056003708707</v>
      </c>
      <c r="E429" s="11" t="s">
        <v>213</v>
      </c>
      <c r="F429" s="12" t="s">
        <v>89</v>
      </c>
      <c r="G429" s="31">
        <v>103.74</v>
      </c>
      <c r="I429" s="2">
        <f>VLOOKUP(C429,[1]Sheet1!$C:$G,5,FALSE)</f>
        <v>98.8</v>
      </c>
      <c r="J429" s="33">
        <f t="shared" si="7"/>
        <v>4.9999999999999975E-2</v>
      </c>
    </row>
    <row r="430" spans="1:10" x14ac:dyDescent="0.3">
      <c r="A430" s="7" t="s">
        <v>4</v>
      </c>
      <c r="B430" s="8" t="s">
        <v>203</v>
      </c>
      <c r="C430" s="10" t="s">
        <v>1906</v>
      </c>
      <c r="D430" s="6" t="s">
        <v>1902</v>
      </c>
      <c r="E430" s="11" t="s">
        <v>1895</v>
      </c>
      <c r="F430" s="12" t="s">
        <v>1898</v>
      </c>
      <c r="G430" s="31">
        <v>804.30000000000007</v>
      </c>
      <c r="I430" s="2">
        <f>VLOOKUP(C430,[1]Sheet1!$C:$G,5,FALSE)</f>
        <v>766</v>
      </c>
      <c r="J430" s="33">
        <f t="shared" si="7"/>
        <v>5.0000000000000086E-2</v>
      </c>
    </row>
    <row r="431" spans="1:10" x14ac:dyDescent="0.3">
      <c r="A431" s="7" t="s">
        <v>4</v>
      </c>
      <c r="B431" s="8" t="s">
        <v>1908</v>
      </c>
      <c r="C431" s="13" t="s">
        <v>2167</v>
      </c>
      <c r="D431" s="6">
        <v>5056003775280</v>
      </c>
      <c r="E431" s="14" t="s">
        <v>2168</v>
      </c>
      <c r="F431" s="12" t="s">
        <v>1899</v>
      </c>
      <c r="G431" s="31">
        <v>207.58500000000001</v>
      </c>
      <c r="I431" s="2">
        <f>VLOOKUP(C431,[1]Sheet1!$C:$G,5,FALSE)</f>
        <v>197.7</v>
      </c>
      <c r="J431" s="33">
        <f t="shared" si="7"/>
        <v>5.00000000000001E-2</v>
      </c>
    </row>
    <row r="432" spans="1:10" x14ac:dyDescent="0.3">
      <c r="A432" s="7" t="s">
        <v>4</v>
      </c>
      <c r="B432" s="8" t="s">
        <v>203</v>
      </c>
      <c r="C432" s="10" t="s">
        <v>1904</v>
      </c>
      <c r="D432" s="6" t="s">
        <v>1900</v>
      </c>
      <c r="E432" s="11" t="s">
        <v>1895</v>
      </c>
      <c r="F432" s="12" t="s">
        <v>1896</v>
      </c>
      <c r="G432" s="31">
        <v>467.04</v>
      </c>
      <c r="I432" s="2">
        <f>VLOOKUP(C432,[1]Sheet1!$C:$G,5,FALSE)</f>
        <v>444.8</v>
      </c>
      <c r="J432" s="33">
        <f t="shared" si="7"/>
        <v>5.0000000000000017E-2</v>
      </c>
    </row>
    <row r="433" spans="1:10" x14ac:dyDescent="0.3">
      <c r="A433" s="7" t="s">
        <v>4</v>
      </c>
      <c r="B433" s="8" t="s">
        <v>203</v>
      </c>
      <c r="C433" s="10" t="s">
        <v>1905</v>
      </c>
      <c r="D433" s="6" t="s">
        <v>1901</v>
      </c>
      <c r="E433" s="11" t="s">
        <v>1895</v>
      </c>
      <c r="F433" s="12" t="s">
        <v>1897</v>
      </c>
      <c r="G433" s="31">
        <v>518.91</v>
      </c>
      <c r="I433" s="2">
        <f>VLOOKUP(C433,[1]Sheet1!$C:$G,5,FALSE)</f>
        <v>494.2</v>
      </c>
      <c r="J433" s="33">
        <f t="shared" si="7"/>
        <v>4.9999999999999961E-2</v>
      </c>
    </row>
    <row r="434" spans="1:10" x14ac:dyDescent="0.3">
      <c r="A434" s="7" t="s">
        <v>4</v>
      </c>
      <c r="B434" s="8" t="s">
        <v>203</v>
      </c>
      <c r="C434" s="10" t="s">
        <v>1907</v>
      </c>
      <c r="D434" s="6" t="s">
        <v>1903</v>
      </c>
      <c r="E434" s="11" t="s">
        <v>1895</v>
      </c>
      <c r="F434" s="12" t="s">
        <v>1899</v>
      </c>
      <c r="G434" s="31">
        <v>856.17</v>
      </c>
      <c r="I434" s="2">
        <f>VLOOKUP(C434,[1]Sheet1!$C:$G,5,FALSE)</f>
        <v>815.4</v>
      </c>
      <c r="J434" s="33">
        <f t="shared" si="7"/>
        <v>4.9999999999999982E-2</v>
      </c>
    </row>
    <row r="435" spans="1:10" x14ac:dyDescent="0.3">
      <c r="A435" s="7" t="s">
        <v>4</v>
      </c>
      <c r="B435" s="8" t="s">
        <v>93</v>
      </c>
      <c r="C435" s="13" t="s">
        <v>373</v>
      </c>
      <c r="D435" s="6">
        <v>5056003724028</v>
      </c>
      <c r="E435" s="14" t="s">
        <v>374</v>
      </c>
      <c r="F435" s="12"/>
      <c r="G435" s="31">
        <v>21.493500000000001</v>
      </c>
      <c r="I435" s="2">
        <f>VLOOKUP(C435,[1]Sheet1!$C:$G,5,FALSE)</f>
        <v>20.47</v>
      </c>
      <c r="J435" s="33">
        <f t="shared" si="7"/>
        <v>5.0000000000000107E-2</v>
      </c>
    </row>
    <row r="436" spans="1:10" x14ac:dyDescent="0.3">
      <c r="A436" s="7" t="s">
        <v>4</v>
      </c>
      <c r="B436" s="8" t="s">
        <v>93</v>
      </c>
      <c r="C436" s="10" t="s">
        <v>182</v>
      </c>
      <c r="D436" s="6">
        <v>5056003708899</v>
      </c>
      <c r="E436" s="11" t="s">
        <v>183</v>
      </c>
      <c r="F436" s="12" t="s">
        <v>89</v>
      </c>
      <c r="G436" s="31">
        <v>1.3230000000000002</v>
      </c>
      <c r="I436" s="2">
        <f>VLOOKUP(C436,[1]Sheet1!$C:$G,5,FALSE)</f>
        <v>1.26</v>
      </c>
      <c r="J436" s="33">
        <f t="shared" si="7"/>
        <v>5.0000000000000135E-2</v>
      </c>
    </row>
    <row r="437" spans="1:10" x14ac:dyDescent="0.3">
      <c r="A437" s="7" t="s">
        <v>4</v>
      </c>
      <c r="B437" s="8" t="s">
        <v>93</v>
      </c>
      <c r="C437" s="10" t="s">
        <v>184</v>
      </c>
      <c r="D437" s="6">
        <v>5056003708554</v>
      </c>
      <c r="E437" s="11" t="s">
        <v>185</v>
      </c>
      <c r="F437" s="12" t="s">
        <v>52</v>
      </c>
      <c r="G437" s="31">
        <v>13.377000000000001</v>
      </c>
      <c r="I437" s="2">
        <f>VLOOKUP(C437,[1]Sheet1!$C:$G,5,FALSE)</f>
        <v>12.74</v>
      </c>
      <c r="J437" s="33">
        <f t="shared" si="7"/>
        <v>5.0000000000000037E-2</v>
      </c>
    </row>
    <row r="438" spans="1:10" x14ac:dyDescent="0.3">
      <c r="A438" s="7" t="s">
        <v>4</v>
      </c>
      <c r="B438" s="8" t="s">
        <v>93</v>
      </c>
      <c r="C438" s="10" t="s">
        <v>186</v>
      </c>
      <c r="D438" s="6">
        <v>5056003709216</v>
      </c>
      <c r="E438" s="11" t="s">
        <v>187</v>
      </c>
      <c r="F438" s="12" t="s">
        <v>85</v>
      </c>
      <c r="G438" s="31">
        <v>2.6985000000000001</v>
      </c>
      <c r="I438" s="2">
        <f>VLOOKUP(C438,[1]Sheet1!$C:$G,5,FALSE)</f>
        <v>2.57</v>
      </c>
      <c r="J438" s="33">
        <f t="shared" si="7"/>
        <v>5.0000000000000114E-2</v>
      </c>
    </row>
    <row r="439" spans="1:10" x14ac:dyDescent="0.3">
      <c r="A439" s="7" t="s">
        <v>4</v>
      </c>
      <c r="B439" s="8" t="s">
        <v>238</v>
      </c>
      <c r="C439" s="10" t="s">
        <v>375</v>
      </c>
      <c r="D439" s="6">
        <v>5056003708615</v>
      </c>
      <c r="E439" s="11" t="s">
        <v>296</v>
      </c>
      <c r="F439" s="12" t="s">
        <v>52</v>
      </c>
      <c r="G439" s="31">
        <v>21.399000000000001</v>
      </c>
      <c r="I439" s="2">
        <f>VLOOKUP(C439,[1]Sheet1!$C:$G,5,FALSE)</f>
        <v>20.38</v>
      </c>
      <c r="J439" s="33">
        <f t="shared" si="7"/>
        <v>5.0000000000000093E-2</v>
      </c>
    </row>
    <row r="440" spans="1:10" x14ac:dyDescent="0.3">
      <c r="A440" s="7" t="s">
        <v>4</v>
      </c>
      <c r="B440" s="8" t="s">
        <v>93</v>
      </c>
      <c r="C440" s="10" t="s">
        <v>188</v>
      </c>
      <c r="D440" s="6">
        <v>5056003708691</v>
      </c>
      <c r="E440" s="11" t="s">
        <v>189</v>
      </c>
      <c r="F440" s="12" t="s">
        <v>52</v>
      </c>
      <c r="G440" s="31">
        <v>45.527999999999999</v>
      </c>
      <c r="I440" s="2">
        <f>VLOOKUP(C440,[1]Sheet1!$C:$G,5,FALSE)</f>
        <v>43.36</v>
      </c>
      <c r="J440" s="33">
        <f t="shared" si="7"/>
        <v>4.9999999999999982E-2</v>
      </c>
    </row>
    <row r="441" spans="1:10" x14ac:dyDescent="0.3">
      <c r="A441" s="7" t="s">
        <v>4</v>
      </c>
      <c r="B441" s="8" t="s">
        <v>238</v>
      </c>
      <c r="C441" s="10" t="s">
        <v>376</v>
      </c>
      <c r="D441" s="6">
        <v>5056003708783</v>
      </c>
      <c r="E441" s="11" t="s">
        <v>294</v>
      </c>
      <c r="F441" s="12" t="s">
        <v>52</v>
      </c>
      <c r="G441" s="31">
        <v>22.774500000000003</v>
      </c>
      <c r="I441" s="2">
        <f>VLOOKUP(C441,[1]Sheet1!$C:$G,5,FALSE)</f>
        <v>21.69</v>
      </c>
      <c r="J441" s="33">
        <f t="shared" si="7"/>
        <v>5.0000000000000093E-2</v>
      </c>
    </row>
    <row r="442" spans="1:10" x14ac:dyDescent="0.3">
      <c r="A442" s="7" t="s">
        <v>4</v>
      </c>
      <c r="B442" s="8" t="s">
        <v>93</v>
      </c>
      <c r="C442" s="13" t="s">
        <v>377</v>
      </c>
      <c r="D442" s="6">
        <v>5056003708530</v>
      </c>
      <c r="E442" s="14" t="s">
        <v>378</v>
      </c>
      <c r="F442" s="12" t="s">
        <v>52</v>
      </c>
      <c r="G442" s="31" t="s">
        <v>92</v>
      </c>
      <c r="I442" s="2" t="str">
        <f>VLOOKUP(C442,[1]Sheet1!$C:$G,5,FALSE)</f>
        <v>POA</v>
      </c>
      <c r="J442" s="33"/>
    </row>
    <row r="443" spans="1:10" x14ac:dyDescent="0.3">
      <c r="A443" s="7" t="s">
        <v>4</v>
      </c>
      <c r="B443" s="8" t="s">
        <v>93</v>
      </c>
      <c r="C443" s="13" t="s">
        <v>379</v>
      </c>
      <c r="D443" s="6">
        <v>5056003708936</v>
      </c>
      <c r="E443" s="14" t="s">
        <v>380</v>
      </c>
      <c r="F443" s="12"/>
      <c r="G443" s="31" t="s">
        <v>92</v>
      </c>
      <c r="I443" s="2" t="str">
        <f>VLOOKUP(C443,[1]Sheet1!$C:$G,5,FALSE)</f>
        <v>POA</v>
      </c>
      <c r="J443" s="33"/>
    </row>
    <row r="444" spans="1:10" x14ac:dyDescent="0.3">
      <c r="A444" s="7" t="s">
        <v>4</v>
      </c>
      <c r="B444" s="8" t="s">
        <v>93</v>
      </c>
      <c r="C444" s="13" t="s">
        <v>381</v>
      </c>
      <c r="D444" s="6">
        <v>5056003708943</v>
      </c>
      <c r="E444" s="14" t="s">
        <v>382</v>
      </c>
      <c r="F444" s="12" t="s">
        <v>383</v>
      </c>
      <c r="G444" s="31" t="s">
        <v>92</v>
      </c>
      <c r="I444" s="2" t="str">
        <f>VLOOKUP(C444,[1]Sheet1!$C:$G,5,FALSE)</f>
        <v>POA</v>
      </c>
      <c r="J444" s="33"/>
    </row>
    <row r="445" spans="1:10" x14ac:dyDescent="0.3">
      <c r="A445" s="7" t="s">
        <v>4</v>
      </c>
      <c r="B445" s="8" t="s">
        <v>27</v>
      </c>
      <c r="C445" s="10" t="s">
        <v>49</v>
      </c>
      <c r="D445" s="6">
        <v>5056003709155</v>
      </c>
      <c r="E445" s="11" t="s">
        <v>47</v>
      </c>
      <c r="F445" s="12" t="s">
        <v>50</v>
      </c>
      <c r="G445" s="31">
        <v>482.16</v>
      </c>
      <c r="I445" s="2">
        <f>VLOOKUP(C445,[1]Sheet1!$C:$G,5,FALSE)</f>
        <v>459.2</v>
      </c>
      <c r="J445" s="33">
        <f t="shared" si="7"/>
        <v>5.0000000000000079E-2</v>
      </c>
    </row>
    <row r="446" spans="1:10" x14ac:dyDescent="0.3">
      <c r="A446" s="7" t="s">
        <v>4</v>
      </c>
      <c r="B446" s="8" t="s">
        <v>93</v>
      </c>
      <c r="C446" s="10" t="s">
        <v>190</v>
      </c>
      <c r="D446" s="6">
        <v>5056003708998</v>
      </c>
      <c r="E446" s="11" t="s">
        <v>185</v>
      </c>
      <c r="F446" s="12" t="s">
        <v>50</v>
      </c>
      <c r="G446" s="31">
        <v>24.0975</v>
      </c>
      <c r="I446" s="2">
        <f>VLOOKUP(C446,[1]Sheet1!$C:$G,5,FALSE)</f>
        <v>22.95</v>
      </c>
      <c r="J446" s="33">
        <f t="shared" si="7"/>
        <v>5.0000000000000037E-2</v>
      </c>
    </row>
    <row r="447" spans="1:10" x14ac:dyDescent="0.3">
      <c r="A447" s="7" t="s">
        <v>4</v>
      </c>
      <c r="B447" s="8" t="s">
        <v>192</v>
      </c>
      <c r="C447" s="13" t="s">
        <v>384</v>
      </c>
      <c r="D447" s="6">
        <v>5056003724035</v>
      </c>
      <c r="E447" s="14" t="s">
        <v>385</v>
      </c>
      <c r="F447" s="12" t="s">
        <v>50</v>
      </c>
      <c r="G447" s="31">
        <v>23.026500000000002</v>
      </c>
      <c r="I447" s="2">
        <f>VLOOKUP(C447,[1]Sheet1!$C:$G,5,FALSE)</f>
        <v>21.93</v>
      </c>
      <c r="J447" s="33">
        <f t="shared" si="7"/>
        <v>5.0000000000000114E-2</v>
      </c>
    </row>
    <row r="448" spans="1:10" x14ac:dyDescent="0.3">
      <c r="A448" s="7" t="s">
        <v>4</v>
      </c>
      <c r="B448" s="8" t="s">
        <v>93</v>
      </c>
      <c r="C448" s="13" t="s">
        <v>386</v>
      </c>
      <c r="D448" s="6">
        <v>5056003709162</v>
      </c>
      <c r="E448" s="14" t="s">
        <v>277</v>
      </c>
      <c r="F448" s="12" t="s">
        <v>50</v>
      </c>
      <c r="G448" s="31" t="s">
        <v>92</v>
      </c>
      <c r="I448" s="2" t="str">
        <f>VLOOKUP(C448,[1]Sheet1!$C:$G,5,FALSE)</f>
        <v>POA</v>
      </c>
      <c r="J448" s="33"/>
    </row>
    <row r="449" spans="1:10" x14ac:dyDescent="0.3">
      <c r="A449" s="7" t="s">
        <v>4</v>
      </c>
      <c r="B449" s="8" t="s">
        <v>93</v>
      </c>
      <c r="C449" s="13" t="s">
        <v>387</v>
      </c>
      <c r="D449" s="6">
        <v>5056003709445</v>
      </c>
      <c r="E449" s="14" t="s">
        <v>388</v>
      </c>
      <c r="F449" s="12" t="s">
        <v>48</v>
      </c>
      <c r="G449" s="31" t="s">
        <v>92</v>
      </c>
      <c r="I449" s="2" t="str">
        <f>VLOOKUP(C449,[1]Sheet1!$C:$G,5,FALSE)</f>
        <v>POA</v>
      </c>
      <c r="J449" s="33"/>
    </row>
    <row r="450" spans="1:10" x14ac:dyDescent="0.3">
      <c r="A450" s="7" t="s">
        <v>4</v>
      </c>
      <c r="B450" s="8" t="s">
        <v>53</v>
      </c>
      <c r="C450" s="10" t="s">
        <v>86</v>
      </c>
      <c r="D450" s="6">
        <v>5056003708677</v>
      </c>
      <c r="E450" s="11" t="s">
        <v>81</v>
      </c>
      <c r="F450" s="12" t="s">
        <v>79</v>
      </c>
      <c r="G450" s="31">
        <v>6.6989999999999998</v>
      </c>
      <c r="I450" s="2">
        <f>VLOOKUP(C450,[1]Sheet1!$C:$G,5,FALSE)</f>
        <v>6.38</v>
      </c>
      <c r="J450" s="33">
        <f t="shared" si="7"/>
        <v>4.9999999999999996E-2</v>
      </c>
    </row>
    <row r="451" spans="1:10" x14ac:dyDescent="0.3">
      <c r="A451" s="7" t="s">
        <v>4</v>
      </c>
      <c r="B451" s="8" t="s">
        <v>53</v>
      </c>
      <c r="C451" s="10" t="s">
        <v>87</v>
      </c>
      <c r="D451" s="6">
        <v>5056003708622</v>
      </c>
      <c r="E451" s="11" t="s">
        <v>88</v>
      </c>
      <c r="F451" s="12" t="s">
        <v>89</v>
      </c>
      <c r="G451" s="31">
        <v>8.0325000000000006</v>
      </c>
      <c r="I451" s="2">
        <f>VLOOKUP(C451,[1]Sheet1!$C:$G,5,FALSE)</f>
        <v>7.65</v>
      </c>
      <c r="J451" s="33">
        <f t="shared" si="7"/>
        <v>5.0000000000000037E-2</v>
      </c>
    </row>
    <row r="452" spans="1:10" x14ac:dyDescent="0.3">
      <c r="A452" s="7" t="s">
        <v>4</v>
      </c>
      <c r="B452" s="8" t="s">
        <v>192</v>
      </c>
      <c r="C452" s="10" t="s">
        <v>202</v>
      </c>
      <c r="D452" s="6">
        <v>5056003708561</v>
      </c>
      <c r="E452" s="11" t="s">
        <v>200</v>
      </c>
      <c r="F452" s="12" t="s">
        <v>52</v>
      </c>
      <c r="G452" s="31">
        <v>66.885000000000005</v>
      </c>
      <c r="I452" s="2">
        <f>VLOOKUP(C452,[1]Sheet1!$C:$G,5,FALSE)</f>
        <v>63.7</v>
      </c>
      <c r="J452" s="33">
        <f t="shared" si="7"/>
        <v>5.0000000000000031E-2</v>
      </c>
    </row>
    <row r="453" spans="1:10" x14ac:dyDescent="0.3">
      <c r="A453" s="7" t="s">
        <v>4</v>
      </c>
      <c r="B453" s="8" t="s">
        <v>192</v>
      </c>
      <c r="C453" s="13" t="s">
        <v>389</v>
      </c>
      <c r="D453" s="6">
        <v>5056003724042</v>
      </c>
      <c r="E453" s="14" t="s">
        <v>385</v>
      </c>
      <c r="F453" s="12" t="s">
        <v>52</v>
      </c>
      <c r="G453" s="31">
        <v>23.026500000000002</v>
      </c>
      <c r="I453" s="2">
        <f>VLOOKUP(C453,[1]Sheet1!$C:$G,5,FALSE)</f>
        <v>21.93</v>
      </c>
      <c r="J453" s="33">
        <f t="shared" si="7"/>
        <v>5.0000000000000114E-2</v>
      </c>
    </row>
    <row r="454" spans="1:10" x14ac:dyDescent="0.3">
      <c r="A454" s="7" t="s">
        <v>4</v>
      </c>
      <c r="B454" s="8" t="s">
        <v>53</v>
      </c>
      <c r="C454" s="10" t="s">
        <v>90</v>
      </c>
      <c r="D454" s="6">
        <v>5056003708684</v>
      </c>
      <c r="E454" s="11" t="s">
        <v>91</v>
      </c>
      <c r="F454" s="12" t="s">
        <v>52</v>
      </c>
      <c r="G454" s="31">
        <v>8.0325000000000006</v>
      </c>
      <c r="I454" s="2">
        <f>VLOOKUP(C454,[1]Sheet1!$C:$G,5,FALSE)</f>
        <v>7.65</v>
      </c>
      <c r="J454" s="33">
        <f t="shared" si="7"/>
        <v>5.0000000000000037E-2</v>
      </c>
    </row>
    <row r="455" spans="1:10" x14ac:dyDescent="0.3">
      <c r="A455" s="7" t="s">
        <v>4</v>
      </c>
      <c r="B455" s="8" t="s">
        <v>238</v>
      </c>
      <c r="C455" s="10" t="s">
        <v>390</v>
      </c>
      <c r="D455" s="6">
        <v>5056003708608</v>
      </c>
      <c r="E455" s="11" t="s">
        <v>391</v>
      </c>
      <c r="F455" s="12" t="s">
        <v>52</v>
      </c>
      <c r="G455" s="31">
        <v>14.7315</v>
      </c>
      <c r="I455" s="2">
        <f>VLOOKUP(C455,[1]Sheet1!$C:$G,5,FALSE)</f>
        <v>14.03</v>
      </c>
      <c r="J455" s="33">
        <f t="shared" si="7"/>
        <v>5.0000000000000079E-2</v>
      </c>
    </row>
    <row r="456" spans="1:10" x14ac:dyDescent="0.3">
      <c r="A456" s="7" t="s">
        <v>4</v>
      </c>
      <c r="B456" s="8" t="s">
        <v>27</v>
      </c>
      <c r="C456" s="10" t="s">
        <v>51</v>
      </c>
      <c r="D456" s="6">
        <v>5056003708653</v>
      </c>
      <c r="E456" s="11" t="s">
        <v>47</v>
      </c>
      <c r="F456" s="12" t="s">
        <v>52</v>
      </c>
      <c r="G456" s="31">
        <v>388.39499999999998</v>
      </c>
      <c r="I456" s="2">
        <f>VLOOKUP(C456,[1]Sheet1!$C:$G,5,FALSE)</f>
        <v>369.9</v>
      </c>
      <c r="J456" s="33">
        <f t="shared" si="7"/>
        <v>5.0000000000000017E-2</v>
      </c>
    </row>
    <row r="457" spans="1:10" x14ac:dyDescent="0.3">
      <c r="A457" s="7" t="s">
        <v>4</v>
      </c>
      <c r="B457" s="8" t="s">
        <v>93</v>
      </c>
      <c r="C457" s="13" t="s">
        <v>392</v>
      </c>
      <c r="D457" s="6">
        <v>5056003708929</v>
      </c>
      <c r="E457" s="14" t="s">
        <v>393</v>
      </c>
      <c r="F457" s="12" t="s">
        <v>267</v>
      </c>
      <c r="G457" s="31" t="s">
        <v>92</v>
      </c>
      <c r="I457" s="2" t="str">
        <f>VLOOKUP(C457,[1]Sheet1!$C:$G,5,FALSE)</f>
        <v>POA</v>
      </c>
      <c r="J457" s="33"/>
    </row>
    <row r="458" spans="1:10" x14ac:dyDescent="0.3">
      <c r="A458" s="7" t="s">
        <v>4</v>
      </c>
      <c r="B458" s="8" t="s">
        <v>93</v>
      </c>
      <c r="C458" s="13" t="s">
        <v>394</v>
      </c>
      <c r="D458" s="6">
        <v>5056003708585</v>
      </c>
      <c r="E458" s="14" t="s">
        <v>395</v>
      </c>
      <c r="F458" s="12" t="s">
        <v>52</v>
      </c>
      <c r="G458" s="31" t="s">
        <v>92</v>
      </c>
      <c r="I458" s="2" t="str">
        <f>VLOOKUP(C458,[1]Sheet1!$C:$G,5,FALSE)</f>
        <v>POA</v>
      </c>
      <c r="J458" s="33"/>
    </row>
    <row r="459" spans="1:10" x14ac:dyDescent="0.3">
      <c r="A459" s="7" t="s">
        <v>4</v>
      </c>
      <c r="B459" s="8" t="s">
        <v>93</v>
      </c>
      <c r="C459" s="13" t="s">
        <v>396</v>
      </c>
      <c r="D459" s="6">
        <v>5056003709469</v>
      </c>
      <c r="E459" s="14" t="s">
        <v>378</v>
      </c>
      <c r="F459" s="12" t="s">
        <v>307</v>
      </c>
      <c r="G459" s="31">
        <v>32.686500000000002</v>
      </c>
      <c r="I459" s="2">
        <f>VLOOKUP(C459,[1]Sheet1!$C:$G,5,FALSE)</f>
        <v>31.13</v>
      </c>
      <c r="J459" s="33">
        <f t="shared" si="7"/>
        <v>5.0000000000000107E-2</v>
      </c>
    </row>
    <row r="460" spans="1:10" x14ac:dyDescent="0.3">
      <c r="A460" s="7" t="s">
        <v>4</v>
      </c>
      <c r="B460" s="8" t="s">
        <v>93</v>
      </c>
      <c r="C460" s="10" t="s">
        <v>191</v>
      </c>
      <c r="D460" s="6">
        <v>5056003709285</v>
      </c>
      <c r="E460" s="11" t="s">
        <v>185</v>
      </c>
      <c r="F460" s="12" t="s">
        <v>48</v>
      </c>
      <c r="G460" s="31">
        <v>29.442</v>
      </c>
      <c r="I460" s="2">
        <f>VLOOKUP(C460,[1]Sheet1!$C:$G,5,FALSE)</f>
        <v>28.04</v>
      </c>
      <c r="J460" s="33">
        <f t="shared" si="7"/>
        <v>5.0000000000000037E-2</v>
      </c>
    </row>
    <row r="461" spans="1:10" x14ac:dyDescent="0.3">
      <c r="A461" s="7" t="s">
        <v>4</v>
      </c>
      <c r="B461" s="8" t="s">
        <v>238</v>
      </c>
      <c r="C461" s="10" t="s">
        <v>397</v>
      </c>
      <c r="D461" s="6">
        <v>5056003709056</v>
      </c>
      <c r="E461" s="11" t="s">
        <v>398</v>
      </c>
      <c r="F461" s="12" t="s">
        <v>50</v>
      </c>
      <c r="G461" s="31">
        <v>40.152000000000001</v>
      </c>
      <c r="I461" s="2">
        <f>VLOOKUP(C461,[1]Sheet1!$C:$G,5,FALSE)</f>
        <v>38.24</v>
      </c>
      <c r="J461" s="33">
        <f t="shared" si="7"/>
        <v>4.9999999999999975E-2</v>
      </c>
    </row>
    <row r="462" spans="1:10" x14ac:dyDescent="0.3">
      <c r="A462" s="7" t="s">
        <v>4</v>
      </c>
      <c r="B462" s="8" t="s">
        <v>93</v>
      </c>
      <c r="C462" s="13" t="s">
        <v>399</v>
      </c>
      <c r="D462" s="6">
        <v>5056003709230</v>
      </c>
      <c r="E462" s="14" t="s">
        <v>400</v>
      </c>
      <c r="F462" s="12" t="s">
        <v>307</v>
      </c>
      <c r="G462" s="31" t="s">
        <v>92</v>
      </c>
      <c r="I462" s="2" t="str">
        <f>VLOOKUP(C462,[1]Sheet1!$C:$G,5,FALSE)</f>
        <v>POA</v>
      </c>
      <c r="J462" s="33"/>
    </row>
    <row r="463" spans="1:10" x14ac:dyDescent="0.3">
      <c r="A463" s="26" t="s">
        <v>828</v>
      </c>
      <c r="B463" s="8" t="s">
        <v>829</v>
      </c>
      <c r="C463" s="8" t="s">
        <v>849</v>
      </c>
      <c r="D463" s="6">
        <v>5056003700701</v>
      </c>
      <c r="E463" s="9" t="s">
        <v>847</v>
      </c>
      <c r="F463" s="9" t="s">
        <v>850</v>
      </c>
      <c r="G463" s="31">
        <v>157.35300000000001</v>
      </c>
      <c r="I463" s="2">
        <f>VLOOKUP(C463,[1]Sheet1!$C:$G,5,FALSE)</f>
        <v>149.86000000000001</v>
      </c>
      <c r="J463" s="33">
        <f t="shared" si="7"/>
        <v>4.9999999999999961E-2</v>
      </c>
    </row>
    <row r="464" spans="1:10" x14ac:dyDescent="0.3">
      <c r="A464" s="26" t="s">
        <v>828</v>
      </c>
      <c r="B464" s="8" t="s">
        <v>829</v>
      </c>
      <c r="C464" s="8" t="s">
        <v>851</v>
      </c>
      <c r="D464" s="6">
        <v>5056003700749</v>
      </c>
      <c r="E464" s="9" t="s">
        <v>852</v>
      </c>
      <c r="F464" s="9" t="s">
        <v>850</v>
      </c>
      <c r="G464" s="31">
        <v>107.27850000000001</v>
      </c>
      <c r="I464" s="2">
        <f>VLOOKUP(C464,[1]Sheet1!$C:$G,5,FALSE)</f>
        <v>102.17</v>
      </c>
      <c r="J464" s="33">
        <f t="shared" si="7"/>
        <v>5.0000000000000065E-2</v>
      </c>
    </row>
    <row r="465" spans="1:10" x14ac:dyDescent="0.3">
      <c r="A465" s="26" t="s">
        <v>828</v>
      </c>
      <c r="B465" s="8" t="s">
        <v>829</v>
      </c>
      <c r="C465" s="8" t="s">
        <v>853</v>
      </c>
      <c r="D465" s="6">
        <v>5056003702699</v>
      </c>
      <c r="E465" s="9" t="s">
        <v>844</v>
      </c>
      <c r="F465" s="9" t="s">
        <v>854</v>
      </c>
      <c r="G465" s="31">
        <v>180.18</v>
      </c>
      <c r="I465" s="2">
        <f>VLOOKUP(C465,[1]Sheet1!$C:$G,5,FALSE)</f>
        <v>171.6</v>
      </c>
      <c r="J465" s="33">
        <f t="shared" si="7"/>
        <v>5.0000000000000072E-2</v>
      </c>
    </row>
    <row r="466" spans="1:10" x14ac:dyDescent="0.3">
      <c r="A466" s="26" t="s">
        <v>828</v>
      </c>
      <c r="B466" s="8" t="s">
        <v>829</v>
      </c>
      <c r="C466" s="8" t="s">
        <v>855</v>
      </c>
      <c r="D466" s="6">
        <v>5056003702705</v>
      </c>
      <c r="E466" s="9" t="s">
        <v>856</v>
      </c>
      <c r="F466" s="9" t="s">
        <v>854</v>
      </c>
      <c r="G466" s="31">
        <v>112.21350000000001</v>
      </c>
      <c r="I466" s="2">
        <f>VLOOKUP(C466,[1]Sheet1!$C:$G,5,FALSE)</f>
        <v>106.87</v>
      </c>
      <c r="J466" s="33">
        <f t="shared" si="7"/>
        <v>5.0000000000000051E-2</v>
      </c>
    </row>
    <row r="467" spans="1:10" x14ac:dyDescent="0.3">
      <c r="A467" s="26" t="s">
        <v>828</v>
      </c>
      <c r="B467" s="8" t="s">
        <v>829</v>
      </c>
      <c r="C467" s="8" t="s">
        <v>857</v>
      </c>
      <c r="D467" s="6">
        <v>5056003700718</v>
      </c>
      <c r="E467" s="9" t="s">
        <v>847</v>
      </c>
      <c r="F467" s="9" t="s">
        <v>858</v>
      </c>
      <c r="G467" s="31">
        <v>214.55700000000002</v>
      </c>
      <c r="I467" s="2">
        <f>VLOOKUP(C467,[1]Sheet1!$C:$G,5,FALSE)</f>
        <v>204.34</v>
      </c>
      <c r="J467" s="33">
        <f t="shared" si="7"/>
        <v>5.0000000000000065E-2</v>
      </c>
    </row>
    <row r="468" spans="1:10" x14ac:dyDescent="0.3">
      <c r="A468" s="26" t="s">
        <v>828</v>
      </c>
      <c r="B468" s="8" t="s">
        <v>829</v>
      </c>
      <c r="C468" s="8" t="s">
        <v>859</v>
      </c>
      <c r="D468" s="6">
        <v>5056003700725</v>
      </c>
      <c r="E468" s="9" t="s">
        <v>847</v>
      </c>
      <c r="F468" s="9" t="s">
        <v>860</v>
      </c>
      <c r="G468" s="31">
        <v>214.55700000000002</v>
      </c>
      <c r="I468" s="2">
        <f>VLOOKUP(C468,[1]Sheet1!$C:$G,5,FALSE)</f>
        <v>204.34</v>
      </c>
      <c r="J468" s="33">
        <f t="shared" si="7"/>
        <v>5.0000000000000065E-2</v>
      </c>
    </row>
    <row r="469" spans="1:10" x14ac:dyDescent="0.3">
      <c r="A469" s="26" t="s">
        <v>828</v>
      </c>
      <c r="B469" s="8" t="s">
        <v>829</v>
      </c>
      <c r="C469" s="8" t="s">
        <v>861</v>
      </c>
      <c r="D469" s="6">
        <v>5056003700756</v>
      </c>
      <c r="E469" s="9" t="s">
        <v>852</v>
      </c>
      <c r="F469" s="9" t="s">
        <v>860</v>
      </c>
      <c r="G469" s="31">
        <v>128.68800000000002</v>
      </c>
      <c r="I469" s="2">
        <f>VLOOKUP(C469,[1]Sheet1!$C:$G,5,FALSE)</f>
        <v>122.56</v>
      </c>
      <c r="J469" s="33">
        <f t="shared" si="7"/>
        <v>5.0000000000000114E-2</v>
      </c>
    </row>
    <row r="470" spans="1:10" x14ac:dyDescent="0.3">
      <c r="A470" s="26" t="s">
        <v>828</v>
      </c>
      <c r="B470" s="8" t="s">
        <v>829</v>
      </c>
      <c r="C470" s="8" t="s">
        <v>862</v>
      </c>
      <c r="D470" s="6">
        <v>5056003702682</v>
      </c>
      <c r="E470" s="9" t="s">
        <v>834</v>
      </c>
      <c r="F470" s="9" t="s">
        <v>863</v>
      </c>
      <c r="G470" s="31" t="s">
        <v>92</v>
      </c>
      <c r="I470" s="2" t="str">
        <f>VLOOKUP(C470,[1]Sheet1!$C:$G,5,FALSE)</f>
        <v>POA</v>
      </c>
      <c r="J470" s="33"/>
    </row>
    <row r="471" spans="1:10" x14ac:dyDescent="0.3">
      <c r="A471" s="26" t="s">
        <v>828</v>
      </c>
      <c r="B471" s="8" t="s">
        <v>829</v>
      </c>
      <c r="C471" s="8" t="s">
        <v>864</v>
      </c>
      <c r="D471" s="6">
        <v>5056003701654</v>
      </c>
      <c r="E471" s="9" t="s">
        <v>834</v>
      </c>
      <c r="F471" s="9" t="s">
        <v>865</v>
      </c>
      <c r="G471" s="31" t="s">
        <v>92</v>
      </c>
      <c r="I471" s="2" t="str">
        <f>VLOOKUP(C471,[1]Sheet1!$C:$G,5,FALSE)</f>
        <v>POA</v>
      </c>
      <c r="J471" s="33"/>
    </row>
    <row r="472" spans="1:10" x14ac:dyDescent="0.3">
      <c r="A472" s="26" t="s">
        <v>828</v>
      </c>
      <c r="B472" s="8" t="s">
        <v>829</v>
      </c>
      <c r="C472" s="8" t="s">
        <v>866</v>
      </c>
      <c r="D472" s="6">
        <v>5056003702750</v>
      </c>
      <c r="E472" s="9" t="s">
        <v>834</v>
      </c>
      <c r="F472" s="9" t="s">
        <v>867</v>
      </c>
      <c r="G472" s="31" t="s">
        <v>92</v>
      </c>
      <c r="I472" s="2" t="str">
        <f>VLOOKUP(C472,[1]Sheet1!$C:$G,5,FALSE)</f>
        <v>POA</v>
      </c>
      <c r="J472" s="33"/>
    </row>
    <row r="473" spans="1:10" x14ac:dyDescent="0.3">
      <c r="A473" s="26" t="s">
        <v>828</v>
      </c>
      <c r="B473" s="8" t="s">
        <v>1784</v>
      </c>
      <c r="C473" s="8" t="s">
        <v>1785</v>
      </c>
      <c r="D473" s="6">
        <v>5056003703269</v>
      </c>
      <c r="E473" s="9" t="s">
        <v>1786</v>
      </c>
      <c r="F473" s="9" t="s">
        <v>1646</v>
      </c>
      <c r="G473" s="31">
        <v>3.7624999999999997</v>
      </c>
      <c r="I473" s="2">
        <f>VLOOKUP(C473,[1]Sheet1!$C:$G,5,FALSE)</f>
        <v>2.15</v>
      </c>
      <c r="J473" s="33">
        <f t="shared" si="7"/>
        <v>0.75</v>
      </c>
    </row>
    <row r="474" spans="1:10" x14ac:dyDescent="0.3">
      <c r="A474" s="26" t="s">
        <v>828</v>
      </c>
      <c r="B474" s="8" t="s">
        <v>93</v>
      </c>
      <c r="C474" s="8" t="s">
        <v>1692</v>
      </c>
      <c r="D474" s="6">
        <v>5056003704266</v>
      </c>
      <c r="E474" s="9" t="s">
        <v>1693</v>
      </c>
      <c r="F474" s="9" t="s">
        <v>1694</v>
      </c>
      <c r="G474" s="31">
        <v>6.4365000000000006</v>
      </c>
      <c r="I474" s="2">
        <f>VLOOKUP(C474,[1]Sheet1!$C:$G,5,FALSE)</f>
        <v>6.13</v>
      </c>
      <c r="J474" s="33">
        <f t="shared" si="7"/>
        <v>5.0000000000000107E-2</v>
      </c>
    </row>
    <row r="475" spans="1:10" x14ac:dyDescent="0.3">
      <c r="A475" s="26" t="s">
        <v>828</v>
      </c>
      <c r="B475" s="8" t="s">
        <v>829</v>
      </c>
      <c r="C475" s="8" t="s">
        <v>868</v>
      </c>
      <c r="D475" s="6">
        <v>5056003720921</v>
      </c>
      <c r="E475" s="9" t="s">
        <v>847</v>
      </c>
      <c r="F475" s="9" t="s">
        <v>869</v>
      </c>
      <c r="G475" s="31">
        <v>269.67599999999999</v>
      </c>
      <c r="I475" s="2">
        <f>VLOOKUP(C475,[1]Sheet1!$C:$G,5,FALSE)</f>
        <v>224.73</v>
      </c>
      <c r="J475" s="33">
        <f t="shared" si="7"/>
        <v>0.2</v>
      </c>
    </row>
    <row r="476" spans="1:10" x14ac:dyDescent="0.3">
      <c r="A476" s="26" t="s">
        <v>828</v>
      </c>
      <c r="B476" s="8" t="s">
        <v>829</v>
      </c>
      <c r="C476" s="8" t="s">
        <v>870</v>
      </c>
      <c r="D476" s="6">
        <v>5056003720938</v>
      </c>
      <c r="E476" s="9" t="s">
        <v>847</v>
      </c>
      <c r="F476" s="9" t="s">
        <v>871</v>
      </c>
      <c r="G476" s="31">
        <v>221.697</v>
      </c>
      <c r="I476" s="2">
        <f>VLOOKUP(C476,[1]Sheet1!$C:$G,5,FALSE)</f>
        <v>211.14</v>
      </c>
      <c r="J476" s="33">
        <f t="shared" si="7"/>
        <v>5.0000000000000079E-2</v>
      </c>
    </row>
    <row r="477" spans="1:10" x14ac:dyDescent="0.3">
      <c r="A477" s="26" t="s">
        <v>828</v>
      </c>
      <c r="B477" s="8" t="s">
        <v>1784</v>
      </c>
      <c r="C477" s="8" t="s">
        <v>1787</v>
      </c>
      <c r="D477" s="6">
        <v>5056003703320</v>
      </c>
      <c r="E477" s="9" t="s">
        <v>1788</v>
      </c>
      <c r="F477" s="9" t="s">
        <v>1783</v>
      </c>
      <c r="G477" s="31">
        <v>38.272500000000008</v>
      </c>
      <c r="I477" s="2">
        <f>VLOOKUP(C477,[1]Sheet1!$C:$G,5,FALSE)</f>
        <v>36.450000000000003</v>
      </c>
      <c r="J477" s="33">
        <f t="shared" si="7"/>
        <v>5.0000000000000135E-2</v>
      </c>
    </row>
    <row r="478" spans="1:10" x14ac:dyDescent="0.3">
      <c r="A478" s="26" t="s">
        <v>828</v>
      </c>
      <c r="B478" s="8" t="s">
        <v>1784</v>
      </c>
      <c r="C478" s="8" t="s">
        <v>1789</v>
      </c>
      <c r="D478" s="6">
        <v>5056003703337</v>
      </c>
      <c r="E478" s="9" t="s">
        <v>1790</v>
      </c>
      <c r="F478" s="9" t="s">
        <v>1708</v>
      </c>
      <c r="G478" s="31">
        <v>37.4955</v>
      </c>
      <c r="I478" s="2">
        <f>VLOOKUP(C478,[1]Sheet1!$C:$G,5,FALSE)</f>
        <v>35.71</v>
      </c>
      <c r="J478" s="33">
        <f t="shared" si="7"/>
        <v>4.9999999999999968E-2</v>
      </c>
    </row>
    <row r="479" spans="1:10" x14ac:dyDescent="0.3">
      <c r="A479" s="26" t="s">
        <v>828</v>
      </c>
      <c r="B479" s="8" t="s">
        <v>1461</v>
      </c>
      <c r="C479" s="8" t="s">
        <v>1465</v>
      </c>
      <c r="D479" s="6">
        <v>5056003703306</v>
      </c>
      <c r="E479" s="9" t="s">
        <v>1466</v>
      </c>
      <c r="F479" s="9" t="s">
        <v>1467</v>
      </c>
      <c r="G479" s="31" t="s">
        <v>92</v>
      </c>
      <c r="I479" s="2" t="str">
        <f>VLOOKUP(C479,[1]Sheet1!$C:$G,5,FALSE)</f>
        <v>POA</v>
      </c>
      <c r="J479" s="33"/>
    </row>
    <row r="480" spans="1:10" x14ac:dyDescent="0.3">
      <c r="A480" s="26" t="s">
        <v>828</v>
      </c>
      <c r="B480" s="8" t="s">
        <v>1461</v>
      </c>
      <c r="C480" s="8" t="s">
        <v>1468</v>
      </c>
      <c r="D480" s="6">
        <v>5056003703290</v>
      </c>
      <c r="E480" s="9" t="s">
        <v>1466</v>
      </c>
      <c r="F480" s="9" t="s">
        <v>1469</v>
      </c>
      <c r="G480" s="31" t="s">
        <v>92</v>
      </c>
      <c r="I480" s="2" t="str">
        <f>VLOOKUP(C480,[1]Sheet1!$C:$G,5,FALSE)</f>
        <v>POA</v>
      </c>
      <c r="J480" s="33"/>
    </row>
    <row r="481" spans="1:10" x14ac:dyDescent="0.3">
      <c r="A481" s="26" t="s">
        <v>828</v>
      </c>
      <c r="B481" s="8" t="s">
        <v>1461</v>
      </c>
      <c r="C481" s="8" t="s">
        <v>1470</v>
      </c>
      <c r="D481" s="6">
        <v>5056003703283</v>
      </c>
      <c r="E481" s="9" t="s">
        <v>1466</v>
      </c>
      <c r="F481" s="9" t="s">
        <v>1471</v>
      </c>
      <c r="G481" s="31" t="s">
        <v>92</v>
      </c>
      <c r="I481" s="2" t="str">
        <f>VLOOKUP(C481,[1]Sheet1!$C:$G,5,FALSE)</f>
        <v>POA</v>
      </c>
      <c r="J481" s="33"/>
    </row>
    <row r="482" spans="1:10" x14ac:dyDescent="0.3">
      <c r="A482" s="26" t="s">
        <v>828</v>
      </c>
      <c r="B482" s="8" t="s">
        <v>1461</v>
      </c>
      <c r="C482" s="8" t="s">
        <v>1472</v>
      </c>
      <c r="D482" s="6">
        <v>5056003705829</v>
      </c>
      <c r="E482" s="9" t="s">
        <v>1476</v>
      </c>
      <c r="F482" s="9" t="s">
        <v>1474</v>
      </c>
      <c r="G482" s="31">
        <v>35.356500000000004</v>
      </c>
      <c r="I482" s="2">
        <f>VLOOKUP(C482,[1]Sheet1!$C:$G,5,FALSE)</f>
        <v>26.19</v>
      </c>
      <c r="J482" s="33">
        <f t="shared" si="7"/>
        <v>0.35000000000000009</v>
      </c>
    </row>
    <row r="483" spans="1:10" x14ac:dyDescent="0.3">
      <c r="A483" s="26" t="s">
        <v>828</v>
      </c>
      <c r="B483" s="8" t="s">
        <v>1461</v>
      </c>
      <c r="C483" s="8" t="s">
        <v>1475</v>
      </c>
      <c r="D483" s="6">
        <v>5056003705836</v>
      </c>
      <c r="E483" s="9" t="s">
        <v>1473</v>
      </c>
      <c r="F483" s="9" t="s">
        <v>1474</v>
      </c>
      <c r="G483" s="31">
        <v>35.356500000000004</v>
      </c>
      <c r="I483" s="2">
        <f>VLOOKUP(C483,[1]Sheet1!$C:$G,5,FALSE)</f>
        <v>26.19</v>
      </c>
      <c r="J483" s="33">
        <f t="shared" ref="J483:J546" si="8">(G483-I483)/I483</f>
        <v>0.35000000000000009</v>
      </c>
    </row>
    <row r="484" spans="1:10" x14ac:dyDescent="0.3">
      <c r="A484" s="26" t="s">
        <v>828</v>
      </c>
      <c r="B484" s="8" t="s">
        <v>1461</v>
      </c>
      <c r="C484" s="8" t="s">
        <v>1477</v>
      </c>
      <c r="D484" s="6">
        <v>5056003721119</v>
      </c>
      <c r="E484" s="9" t="s">
        <v>1466</v>
      </c>
      <c r="F484" s="9" t="s">
        <v>1478</v>
      </c>
      <c r="G484" s="31" t="s">
        <v>92</v>
      </c>
      <c r="I484" s="2" t="str">
        <f>VLOOKUP(C484,[1]Sheet1!$C:$G,5,FALSE)</f>
        <v>POA</v>
      </c>
      <c r="J484" s="33"/>
    </row>
    <row r="485" spans="1:10" x14ac:dyDescent="0.3">
      <c r="A485" s="26" t="s">
        <v>828</v>
      </c>
      <c r="B485" s="8" t="s">
        <v>1461</v>
      </c>
      <c r="C485" s="25" t="s">
        <v>1479</v>
      </c>
      <c r="D485" s="6">
        <v>5056003704877</v>
      </c>
      <c r="E485" s="12" t="s">
        <v>1480</v>
      </c>
      <c r="F485" s="12" t="s">
        <v>1481</v>
      </c>
      <c r="G485" s="31" t="s">
        <v>92</v>
      </c>
      <c r="I485" s="2" t="str">
        <f>VLOOKUP(C485,[1]Sheet1!$C:$G,5,FALSE)</f>
        <v>POA</v>
      </c>
      <c r="J485" s="33"/>
    </row>
    <row r="486" spans="1:10" x14ac:dyDescent="0.3">
      <c r="A486" s="26" t="s">
        <v>828</v>
      </c>
      <c r="B486" s="8" t="s">
        <v>1461</v>
      </c>
      <c r="C486" s="25" t="s">
        <v>1482</v>
      </c>
      <c r="D486" s="6">
        <v>5056003704891</v>
      </c>
      <c r="E486" s="12" t="s">
        <v>1483</v>
      </c>
      <c r="F486" s="12" t="s">
        <v>1484</v>
      </c>
      <c r="G486" s="31" t="s">
        <v>92</v>
      </c>
      <c r="I486" s="2" t="str">
        <f>VLOOKUP(C486,[1]Sheet1!$C:$G,5,FALSE)</f>
        <v>POA</v>
      </c>
      <c r="J486" s="33"/>
    </row>
    <row r="487" spans="1:10" x14ac:dyDescent="0.3">
      <c r="A487" s="26" t="s">
        <v>828</v>
      </c>
      <c r="B487" s="8" t="s">
        <v>1461</v>
      </c>
      <c r="C487" s="25" t="s">
        <v>1485</v>
      </c>
      <c r="D487" s="6">
        <v>5056003704884</v>
      </c>
      <c r="E487" s="12" t="s">
        <v>1483</v>
      </c>
      <c r="F487" s="12" t="s">
        <v>1486</v>
      </c>
      <c r="G487" s="31" t="s">
        <v>92</v>
      </c>
      <c r="I487" s="2" t="str">
        <f>VLOOKUP(C487,[1]Sheet1!$C:$G,5,FALSE)</f>
        <v>POA</v>
      </c>
      <c r="J487" s="33"/>
    </row>
    <row r="488" spans="1:10" x14ac:dyDescent="0.3">
      <c r="A488" s="26" t="s">
        <v>828</v>
      </c>
      <c r="B488" s="8" t="s">
        <v>1461</v>
      </c>
      <c r="C488" s="25" t="s">
        <v>1487</v>
      </c>
      <c r="D488" s="6">
        <v>5056003704907</v>
      </c>
      <c r="E488" s="12" t="s">
        <v>1483</v>
      </c>
      <c r="F488" s="12" t="s">
        <v>1488</v>
      </c>
      <c r="G488" s="31" t="s">
        <v>92</v>
      </c>
      <c r="I488" s="2" t="str">
        <f>VLOOKUP(C488,[1]Sheet1!$C:$G,5,FALSE)</f>
        <v>POA</v>
      </c>
      <c r="J488" s="33"/>
    </row>
    <row r="489" spans="1:10" x14ac:dyDescent="0.3">
      <c r="A489" s="26" t="s">
        <v>828</v>
      </c>
      <c r="B489" s="8" t="s">
        <v>1784</v>
      </c>
      <c r="C489" s="8" t="s">
        <v>1791</v>
      </c>
      <c r="D489" s="6">
        <v>5056003703351</v>
      </c>
      <c r="E489" s="9" t="s">
        <v>1792</v>
      </c>
      <c r="F489" s="9" t="s">
        <v>1734</v>
      </c>
      <c r="G489" s="31">
        <v>17.115000000000002</v>
      </c>
      <c r="I489" s="2">
        <f>VLOOKUP(C489,[1]Sheet1!$C:$G,5,FALSE)</f>
        <v>16.3</v>
      </c>
      <c r="J489" s="33">
        <f t="shared" si="8"/>
        <v>5.0000000000000079E-2</v>
      </c>
    </row>
    <row r="490" spans="1:10" x14ac:dyDescent="0.3">
      <c r="A490" s="26" t="s">
        <v>828</v>
      </c>
      <c r="B490" s="8" t="s">
        <v>829</v>
      </c>
      <c r="C490" s="8" t="s">
        <v>872</v>
      </c>
      <c r="D490" s="6">
        <v>5056003704938</v>
      </c>
      <c r="E490" s="9" t="s">
        <v>834</v>
      </c>
      <c r="F490" s="9" t="s">
        <v>873</v>
      </c>
      <c r="G490" s="31" t="s">
        <v>92</v>
      </c>
      <c r="I490" s="2" t="str">
        <f>VLOOKUP(C490,[1]Sheet1!$C:$G,5,FALSE)</f>
        <v>POA</v>
      </c>
      <c r="J490" s="33"/>
    </row>
    <row r="491" spans="1:10" x14ac:dyDescent="0.3">
      <c r="A491" s="26" t="s">
        <v>828</v>
      </c>
      <c r="B491" s="8" t="s">
        <v>829</v>
      </c>
      <c r="C491" s="8" t="s">
        <v>874</v>
      </c>
      <c r="D491" s="6">
        <v>5056003702989</v>
      </c>
      <c r="E491" s="9" t="s">
        <v>834</v>
      </c>
      <c r="F491" s="9" t="s">
        <v>875</v>
      </c>
      <c r="G491" s="31" t="s">
        <v>92</v>
      </c>
      <c r="I491" s="2" t="str">
        <f>VLOOKUP(C491,[1]Sheet1!$C:$G,5,FALSE)</f>
        <v>POA</v>
      </c>
      <c r="J491" s="33"/>
    </row>
    <row r="492" spans="1:10" x14ac:dyDescent="0.3">
      <c r="A492" s="26" t="s">
        <v>828</v>
      </c>
      <c r="B492" s="8" t="s">
        <v>829</v>
      </c>
      <c r="C492" s="8" t="s">
        <v>876</v>
      </c>
      <c r="D492" s="6">
        <v>50560037395350</v>
      </c>
      <c r="E492" s="9" t="s">
        <v>877</v>
      </c>
      <c r="F492" s="9" t="s">
        <v>878</v>
      </c>
      <c r="G492" s="31" t="s">
        <v>92</v>
      </c>
      <c r="I492" s="2" t="str">
        <f>VLOOKUP(C492,[1]Sheet1!$C:$G,5,FALSE)</f>
        <v>POA</v>
      </c>
      <c r="J492" s="33"/>
    </row>
    <row r="493" spans="1:10" x14ac:dyDescent="0.3">
      <c r="A493" s="26" t="s">
        <v>828</v>
      </c>
      <c r="B493" s="8" t="s">
        <v>829</v>
      </c>
      <c r="C493" s="8" t="s">
        <v>879</v>
      </c>
      <c r="D493" s="6">
        <v>5056003702972</v>
      </c>
      <c r="E493" s="9" t="s">
        <v>834</v>
      </c>
      <c r="F493" s="9" t="s">
        <v>927</v>
      </c>
      <c r="G493" s="31" t="s">
        <v>92</v>
      </c>
      <c r="I493" s="2" t="str">
        <f>VLOOKUP(C493,[1]Sheet1!$C:$G,5,FALSE)</f>
        <v>POA</v>
      </c>
      <c r="J493" s="33"/>
    </row>
    <row r="494" spans="1:10" x14ac:dyDescent="0.3">
      <c r="A494" s="26" t="s">
        <v>828</v>
      </c>
      <c r="B494" s="8" t="s">
        <v>1461</v>
      </c>
      <c r="C494" s="8" t="s">
        <v>1489</v>
      </c>
      <c r="D494" s="6">
        <v>5056003702873</v>
      </c>
      <c r="E494" s="9" t="s">
        <v>1466</v>
      </c>
      <c r="F494" s="9" t="s">
        <v>1490</v>
      </c>
      <c r="G494" s="31" t="s">
        <v>92</v>
      </c>
      <c r="I494" s="2" t="str">
        <f>VLOOKUP(C494,[1]Sheet1!$C:$G,5,FALSE)</f>
        <v>POA</v>
      </c>
      <c r="J494" s="33"/>
    </row>
    <row r="495" spans="1:10" x14ac:dyDescent="0.3">
      <c r="A495" s="26" t="s">
        <v>828</v>
      </c>
      <c r="B495" s="8" t="s">
        <v>1461</v>
      </c>
      <c r="C495" s="8" t="s">
        <v>1491</v>
      </c>
      <c r="D495" s="6">
        <v>5056003721126</v>
      </c>
      <c r="E495" s="9" t="s">
        <v>1466</v>
      </c>
      <c r="F495" s="9" t="s">
        <v>1492</v>
      </c>
      <c r="G495" s="31" t="s">
        <v>92</v>
      </c>
      <c r="I495" s="2" t="str">
        <f>VLOOKUP(C495,[1]Sheet1!$C:$G,5,FALSE)</f>
        <v>POA</v>
      </c>
      <c r="J495" s="33"/>
    </row>
    <row r="496" spans="1:10" x14ac:dyDescent="0.3">
      <c r="A496" s="26" t="s">
        <v>828</v>
      </c>
      <c r="B496" s="8" t="s">
        <v>93</v>
      </c>
      <c r="C496" s="8" t="s">
        <v>1701</v>
      </c>
      <c r="D496" s="6">
        <v>5056003773491</v>
      </c>
      <c r="E496" s="9" t="s">
        <v>1702</v>
      </c>
      <c r="F496" s="9" t="s">
        <v>1703</v>
      </c>
      <c r="G496" s="31">
        <v>10.321299999999999</v>
      </c>
      <c r="I496" s="2">
        <f>VLOOKUP(C496,[1]Sheet1!$C:$G,5,FALSE)</f>
        <v>8.5299999999999994</v>
      </c>
      <c r="J496" s="33">
        <f t="shared" si="8"/>
        <v>0.20999999999999996</v>
      </c>
    </row>
    <row r="497" spans="1:10" x14ac:dyDescent="0.3">
      <c r="A497" s="26" t="s">
        <v>828</v>
      </c>
      <c r="B497" s="8" t="s">
        <v>1784</v>
      </c>
      <c r="C497" s="8" t="s">
        <v>1926</v>
      </c>
      <c r="D497" s="6">
        <v>5056003701586</v>
      </c>
      <c r="E497" s="9" t="s">
        <v>1929</v>
      </c>
      <c r="F497" s="9" t="s">
        <v>1808</v>
      </c>
      <c r="G497" s="31">
        <v>30.229500000000002</v>
      </c>
      <c r="I497" s="2">
        <f>VLOOKUP(C497,[1]Sheet1!$C:$G,5,FALSE)</f>
        <v>28.79</v>
      </c>
      <c r="J497" s="33">
        <f t="shared" si="8"/>
        <v>5.0000000000000086E-2</v>
      </c>
    </row>
    <row r="498" spans="1:10" ht="26" x14ac:dyDescent="0.3">
      <c r="A498" s="26" t="s">
        <v>828</v>
      </c>
      <c r="B498" s="8" t="s">
        <v>1784</v>
      </c>
      <c r="C498" s="8" t="s">
        <v>1927</v>
      </c>
      <c r="D498" s="6">
        <v>5056003700404</v>
      </c>
      <c r="E498" s="9" t="s">
        <v>1928</v>
      </c>
      <c r="F498" s="9" t="s">
        <v>1807</v>
      </c>
      <c r="G498" s="31">
        <v>30.229500000000002</v>
      </c>
      <c r="I498" s="2">
        <f>VLOOKUP(C498,[1]Sheet1!$C:$G,5,FALSE)</f>
        <v>28.79</v>
      </c>
      <c r="J498" s="33">
        <f t="shared" si="8"/>
        <v>5.0000000000000086E-2</v>
      </c>
    </row>
    <row r="499" spans="1:10" x14ac:dyDescent="0.3">
      <c r="A499" s="26" t="s">
        <v>828</v>
      </c>
      <c r="B499" s="8" t="s">
        <v>1784</v>
      </c>
      <c r="C499" s="8" t="s">
        <v>1794</v>
      </c>
      <c r="D499" s="6">
        <v>5056003772982</v>
      </c>
      <c r="E499" s="9" t="s">
        <v>1793</v>
      </c>
      <c r="F499" s="9" t="s">
        <v>1699</v>
      </c>
      <c r="G499" s="31">
        <v>296.66250000000002</v>
      </c>
      <c r="I499" s="2">
        <f>VLOOKUP(C499,[1]Sheet1!$C:$G,5,FALSE)</f>
        <v>237.33</v>
      </c>
      <c r="J499" s="33">
        <f t="shared" si="8"/>
        <v>0.25000000000000006</v>
      </c>
    </row>
    <row r="500" spans="1:10" x14ac:dyDescent="0.3">
      <c r="A500" s="26" t="s">
        <v>828</v>
      </c>
      <c r="B500" s="8" t="s">
        <v>93</v>
      </c>
      <c r="C500" s="8" t="s">
        <v>1697</v>
      </c>
      <c r="D500" s="6">
        <v>5056003772999</v>
      </c>
      <c r="E500" s="9" t="s">
        <v>1695</v>
      </c>
      <c r="F500" s="9" t="s">
        <v>1696</v>
      </c>
      <c r="G500" s="31">
        <v>226.86250000000001</v>
      </c>
      <c r="I500" s="2">
        <f>VLOOKUP(C500,[1]Sheet1!$C:$G,5,FALSE)</f>
        <v>181.49</v>
      </c>
      <c r="J500" s="33">
        <f t="shared" si="8"/>
        <v>0.25</v>
      </c>
    </row>
    <row r="501" spans="1:10" x14ac:dyDescent="0.3">
      <c r="A501" s="26" t="s">
        <v>828</v>
      </c>
      <c r="B501" s="8" t="s">
        <v>1784</v>
      </c>
      <c r="C501" s="8" t="s">
        <v>1795</v>
      </c>
      <c r="D501" s="6">
        <v>5056003705607</v>
      </c>
      <c r="E501" s="9" t="s">
        <v>1796</v>
      </c>
      <c r="F501" s="9" t="s">
        <v>1797</v>
      </c>
      <c r="G501" s="31">
        <v>109.62</v>
      </c>
      <c r="I501" s="2">
        <f>VLOOKUP(C501,[1]Sheet1!$C:$G,5,FALSE)</f>
        <v>104.4</v>
      </c>
      <c r="J501" s="33">
        <f t="shared" si="8"/>
        <v>4.9999999999999989E-2</v>
      </c>
    </row>
    <row r="502" spans="1:10" x14ac:dyDescent="0.3">
      <c r="A502" s="26" t="s">
        <v>828</v>
      </c>
      <c r="B502" s="8" t="s">
        <v>1606</v>
      </c>
      <c r="C502" s="8" t="s">
        <v>1607</v>
      </c>
      <c r="D502" s="6">
        <v>5056003700565</v>
      </c>
      <c r="E502" s="9" t="s">
        <v>511</v>
      </c>
      <c r="F502" s="9" t="s">
        <v>1608</v>
      </c>
      <c r="G502" s="31">
        <v>25.819500000000001</v>
      </c>
      <c r="I502" s="2">
        <f>VLOOKUP(C502,[1]Sheet1!$C:$G,5,FALSE)</f>
        <v>24.59</v>
      </c>
      <c r="J502" s="33">
        <f t="shared" si="8"/>
        <v>5.0000000000000065E-2</v>
      </c>
    </row>
    <row r="503" spans="1:10" x14ac:dyDescent="0.3">
      <c r="A503" s="26" t="s">
        <v>828</v>
      </c>
      <c r="B503" s="8" t="s">
        <v>1720</v>
      </c>
      <c r="C503" s="8" t="s">
        <v>1732</v>
      </c>
      <c r="D503" s="6">
        <v>5056003701579</v>
      </c>
      <c r="E503" s="9" t="s">
        <v>1733</v>
      </c>
      <c r="F503" s="9" t="s">
        <v>1734</v>
      </c>
      <c r="G503" s="31">
        <v>33.6</v>
      </c>
      <c r="I503" s="2">
        <f>VLOOKUP(C503,[1]Sheet1!$C:$G,5,FALSE)</f>
        <v>32</v>
      </c>
      <c r="J503" s="33">
        <f t="shared" si="8"/>
        <v>5.0000000000000044E-2</v>
      </c>
    </row>
    <row r="504" spans="1:10" x14ac:dyDescent="0.3">
      <c r="A504" s="26" t="s">
        <v>828</v>
      </c>
      <c r="B504" s="8" t="s">
        <v>1784</v>
      </c>
      <c r="C504" s="8" t="s">
        <v>1798</v>
      </c>
      <c r="D504" s="6">
        <v>5056003701111</v>
      </c>
      <c r="E504" s="9" t="s">
        <v>1799</v>
      </c>
      <c r="F504" s="9" t="s">
        <v>1800</v>
      </c>
      <c r="G504" s="31">
        <v>23.740500000000001</v>
      </c>
      <c r="I504" s="2">
        <f>VLOOKUP(C504,[1]Sheet1!$C:$G,5,FALSE)</f>
        <v>22.61</v>
      </c>
      <c r="J504" s="33">
        <f t="shared" si="8"/>
        <v>5.0000000000000065E-2</v>
      </c>
    </row>
    <row r="505" spans="1:10" ht="26" x14ac:dyDescent="0.3">
      <c r="A505" s="26" t="s">
        <v>828</v>
      </c>
      <c r="B505" s="8" t="s">
        <v>1533</v>
      </c>
      <c r="C505" s="8" t="s">
        <v>1534</v>
      </c>
      <c r="D505" s="6">
        <v>5056003700824</v>
      </c>
      <c r="E505" s="9" t="s">
        <v>1535</v>
      </c>
      <c r="F505" s="9" t="s">
        <v>1536</v>
      </c>
      <c r="G505" s="31">
        <v>72.775500000000008</v>
      </c>
      <c r="I505" s="2">
        <f>VLOOKUP(C505,[1]Sheet1!$C:$G,5,FALSE)</f>
        <v>69.31</v>
      </c>
      <c r="J505" s="33">
        <f t="shared" si="8"/>
        <v>5.0000000000000079E-2</v>
      </c>
    </row>
    <row r="506" spans="1:10" x14ac:dyDescent="0.3">
      <c r="A506" s="26" t="s">
        <v>828</v>
      </c>
      <c r="B506" s="8" t="s">
        <v>1784</v>
      </c>
      <c r="C506" s="8" t="s">
        <v>1801</v>
      </c>
      <c r="D506" s="6">
        <v>5056003702644</v>
      </c>
      <c r="E506" s="9" t="s">
        <v>1802</v>
      </c>
      <c r="F506" s="9" t="s">
        <v>1803</v>
      </c>
      <c r="G506" s="31">
        <v>45.664500000000004</v>
      </c>
      <c r="I506" s="2">
        <f>VLOOKUP(C506,[1]Sheet1!$C:$G,5,FALSE)</f>
        <v>43.49</v>
      </c>
      <c r="J506" s="33">
        <f t="shared" si="8"/>
        <v>5.0000000000000037E-2</v>
      </c>
    </row>
    <row r="507" spans="1:10" x14ac:dyDescent="0.3">
      <c r="A507" s="26" t="s">
        <v>828</v>
      </c>
      <c r="B507" s="8" t="s">
        <v>1784</v>
      </c>
      <c r="C507" s="8" t="s">
        <v>1804</v>
      </c>
      <c r="D507" s="6">
        <v>5056003702668</v>
      </c>
      <c r="E507" s="9" t="s">
        <v>123</v>
      </c>
      <c r="F507" s="9" t="s">
        <v>101</v>
      </c>
      <c r="G507" s="31">
        <v>19.330500000000001</v>
      </c>
      <c r="I507" s="2">
        <f>VLOOKUP(C507,[1]Sheet1!$C:$G,5,FALSE)</f>
        <v>18.41</v>
      </c>
      <c r="J507" s="33">
        <f t="shared" si="8"/>
        <v>5.0000000000000031E-2</v>
      </c>
    </row>
    <row r="508" spans="1:10" x14ac:dyDescent="0.3">
      <c r="A508" s="26" t="s">
        <v>828</v>
      </c>
      <c r="B508" s="8" t="s">
        <v>1622</v>
      </c>
      <c r="C508" s="8" t="s">
        <v>1623</v>
      </c>
      <c r="D508" s="6">
        <v>5056003700664</v>
      </c>
      <c r="E508" s="9" t="s">
        <v>1624</v>
      </c>
      <c r="F508" s="9" t="s">
        <v>1625</v>
      </c>
      <c r="G508" s="31">
        <v>60.186</v>
      </c>
      <c r="I508" s="2">
        <f>VLOOKUP(C508,[1]Sheet1!$C:$G,5,FALSE)</f>
        <v>57.32</v>
      </c>
      <c r="J508" s="33">
        <f t="shared" si="8"/>
        <v>4.9999999999999996E-2</v>
      </c>
    </row>
    <row r="509" spans="1:10" x14ac:dyDescent="0.3">
      <c r="A509" s="26" t="s">
        <v>828</v>
      </c>
      <c r="B509" s="8" t="s">
        <v>1622</v>
      </c>
      <c r="C509" s="8" t="s">
        <v>1626</v>
      </c>
      <c r="D509" s="6">
        <v>5056003702675</v>
      </c>
      <c r="E509" s="9" t="s">
        <v>1627</v>
      </c>
      <c r="F509" s="9" t="s">
        <v>1628</v>
      </c>
      <c r="G509" s="31">
        <v>25.819500000000001</v>
      </c>
      <c r="I509" s="2">
        <f>VLOOKUP(C509,[1]Sheet1!$C:$G,5,FALSE)</f>
        <v>24.59</v>
      </c>
      <c r="J509" s="33">
        <f t="shared" si="8"/>
        <v>5.0000000000000065E-2</v>
      </c>
    </row>
    <row r="510" spans="1:10" x14ac:dyDescent="0.3">
      <c r="A510" s="26" t="s">
        <v>828</v>
      </c>
      <c r="B510" s="8" t="s">
        <v>93</v>
      </c>
      <c r="C510" s="8" t="s">
        <v>1700</v>
      </c>
      <c r="D510" s="6">
        <v>5056003773002</v>
      </c>
      <c r="E510" s="9" t="s">
        <v>1698</v>
      </c>
      <c r="F510" s="9" t="s">
        <v>1699</v>
      </c>
      <c r="G510" s="31">
        <v>76.727999999999994</v>
      </c>
      <c r="I510" s="2">
        <f>VLOOKUP(C510,[1]Sheet1!$C:$G,5,FALSE)</f>
        <v>66.72</v>
      </c>
      <c r="J510" s="33">
        <f t="shared" si="8"/>
        <v>0.14999999999999994</v>
      </c>
    </row>
    <row r="511" spans="1:10" x14ac:dyDescent="0.3">
      <c r="A511" s="26" t="s">
        <v>828</v>
      </c>
      <c r="B511" s="8" t="s">
        <v>93</v>
      </c>
      <c r="C511" s="8" t="s">
        <v>1704</v>
      </c>
      <c r="D511" s="6">
        <v>5056003704556</v>
      </c>
      <c r="E511" s="9" t="s">
        <v>1705</v>
      </c>
      <c r="F511" s="9" t="s">
        <v>1699</v>
      </c>
      <c r="G511" s="31">
        <v>2.8454999999999999</v>
      </c>
      <c r="I511" s="2">
        <f>VLOOKUP(C511,[1]Sheet1!$C:$G,5,FALSE)</f>
        <v>2.71</v>
      </c>
      <c r="J511" s="33">
        <f t="shared" si="8"/>
        <v>4.9999999999999982E-2</v>
      </c>
    </row>
    <row r="512" spans="1:10" x14ac:dyDescent="0.3">
      <c r="A512" s="26" t="s">
        <v>828</v>
      </c>
      <c r="B512" s="8" t="s">
        <v>93</v>
      </c>
      <c r="C512" s="8" t="s">
        <v>1706</v>
      </c>
      <c r="D512" s="6">
        <v>5056003704662</v>
      </c>
      <c r="E512" s="9" t="s">
        <v>1707</v>
      </c>
      <c r="F512" s="9" t="s">
        <v>1708</v>
      </c>
      <c r="G512" s="31">
        <v>9.5970000000000013</v>
      </c>
      <c r="I512" s="2">
        <f>VLOOKUP(C512,[1]Sheet1!$C:$G,5,FALSE)</f>
        <v>9.14</v>
      </c>
      <c r="J512" s="33">
        <f t="shared" si="8"/>
        <v>5.0000000000000079E-2</v>
      </c>
    </row>
    <row r="513" spans="1:10" x14ac:dyDescent="0.3">
      <c r="A513" s="26" t="s">
        <v>828</v>
      </c>
      <c r="B513" s="8" t="s">
        <v>93</v>
      </c>
      <c r="C513" s="8" t="s">
        <v>1709</v>
      </c>
      <c r="D513" s="6">
        <v>5056003700800</v>
      </c>
      <c r="E513" s="9" t="s">
        <v>1710</v>
      </c>
      <c r="F513" s="9" t="s">
        <v>1711</v>
      </c>
      <c r="G513" s="31">
        <v>4.8671999999999995</v>
      </c>
      <c r="I513" s="2">
        <f>VLOOKUP(C513,[1]Sheet1!$C:$G,5,FALSE)</f>
        <v>4.16</v>
      </c>
      <c r="J513" s="33">
        <f t="shared" si="8"/>
        <v>0.16999999999999985</v>
      </c>
    </row>
    <row r="514" spans="1:10" x14ac:dyDescent="0.3">
      <c r="A514" s="26" t="s">
        <v>828</v>
      </c>
      <c r="B514" s="8" t="s">
        <v>1744</v>
      </c>
      <c r="C514" s="8" t="s">
        <v>1761</v>
      </c>
      <c r="D514" s="6">
        <v>5056003702736</v>
      </c>
      <c r="E514" s="9" t="s">
        <v>1762</v>
      </c>
      <c r="F514" s="9" t="s">
        <v>1699</v>
      </c>
      <c r="G514" s="31">
        <v>35.435400000000001</v>
      </c>
      <c r="I514" s="2">
        <f>VLOOKUP(C514,[1]Sheet1!$C:$G,5,FALSE)</f>
        <v>30.03</v>
      </c>
      <c r="J514" s="33">
        <f t="shared" si="8"/>
        <v>0.18</v>
      </c>
    </row>
    <row r="515" spans="1:10" x14ac:dyDescent="0.3">
      <c r="A515" s="26" t="s">
        <v>828</v>
      </c>
      <c r="B515" s="8" t="s">
        <v>1461</v>
      </c>
      <c r="C515" s="8" t="s">
        <v>1493</v>
      </c>
      <c r="D515" s="6">
        <v>5056003702590</v>
      </c>
      <c r="E515" s="9" t="s">
        <v>1494</v>
      </c>
      <c r="F515" s="9" t="s">
        <v>1495</v>
      </c>
      <c r="G515" s="31">
        <v>11.182500000000001</v>
      </c>
      <c r="I515" s="2">
        <f>VLOOKUP(C515,[1]Sheet1!$C:$G,5,FALSE)</f>
        <v>10.65</v>
      </c>
      <c r="J515" s="33">
        <f t="shared" si="8"/>
        <v>5.0000000000000058E-2</v>
      </c>
    </row>
    <row r="516" spans="1:10" ht="26" x14ac:dyDescent="0.3">
      <c r="A516" s="26" t="s">
        <v>828</v>
      </c>
      <c r="B516" s="8" t="s">
        <v>1461</v>
      </c>
      <c r="C516" s="8" t="s">
        <v>1496</v>
      </c>
      <c r="D516" s="6">
        <v>5056003700480</v>
      </c>
      <c r="E516" s="9" t="s">
        <v>1497</v>
      </c>
      <c r="F516" s="9" t="s">
        <v>1498</v>
      </c>
      <c r="G516" s="31">
        <v>11.182500000000001</v>
      </c>
      <c r="I516" s="2">
        <f>VLOOKUP(C516,[1]Sheet1!$C:$G,5,FALSE)</f>
        <v>10.65</v>
      </c>
      <c r="J516" s="33">
        <f t="shared" si="8"/>
        <v>5.0000000000000058E-2</v>
      </c>
    </row>
    <row r="517" spans="1:10" x14ac:dyDescent="0.3">
      <c r="A517" s="26" t="s">
        <v>828</v>
      </c>
      <c r="B517" s="8" t="s">
        <v>1784</v>
      </c>
      <c r="C517" s="8" t="s">
        <v>1805</v>
      </c>
      <c r="D517" s="6">
        <v>5056003702651</v>
      </c>
      <c r="E517" s="9" t="s">
        <v>1802</v>
      </c>
      <c r="F517" s="9" t="s">
        <v>1806</v>
      </c>
      <c r="G517" s="31">
        <v>31.7835</v>
      </c>
      <c r="I517" s="2">
        <f>VLOOKUP(C517,[1]Sheet1!$C:$G,5,FALSE)</f>
        <v>30.27</v>
      </c>
      <c r="J517" s="33">
        <f t="shared" si="8"/>
        <v>5.0000000000000017E-2</v>
      </c>
    </row>
    <row r="518" spans="1:10" x14ac:dyDescent="0.3">
      <c r="A518" s="26" t="s">
        <v>828</v>
      </c>
      <c r="B518" s="8" t="s">
        <v>1744</v>
      </c>
      <c r="C518" s="8" t="s">
        <v>1764</v>
      </c>
      <c r="D518" s="6">
        <v>5056003773026</v>
      </c>
      <c r="E518" s="9" t="s">
        <v>1763</v>
      </c>
      <c r="F518" s="9" t="s">
        <v>1708</v>
      </c>
      <c r="G518" s="31">
        <v>59.545500000000004</v>
      </c>
      <c r="I518" s="2">
        <f>VLOOKUP(C518,[1]Sheet1!$C:$G,5,FALSE)</f>
        <v>56.71</v>
      </c>
      <c r="J518" s="33">
        <f t="shared" si="8"/>
        <v>5.0000000000000058E-2</v>
      </c>
    </row>
    <row r="519" spans="1:10" x14ac:dyDescent="0.3">
      <c r="A519" s="26" t="s">
        <v>828</v>
      </c>
      <c r="B519" s="8" t="s">
        <v>829</v>
      </c>
      <c r="C519" s="8" t="s">
        <v>880</v>
      </c>
      <c r="D519" s="6">
        <v>5056003701630</v>
      </c>
      <c r="E519" s="9" t="s">
        <v>847</v>
      </c>
      <c r="F519" s="9" t="s">
        <v>881</v>
      </c>
      <c r="G519" s="31">
        <v>180.18</v>
      </c>
      <c r="I519" s="2">
        <f>VLOOKUP(C519,[1]Sheet1!$C:$G,5,FALSE)</f>
        <v>171.6</v>
      </c>
      <c r="J519" s="33">
        <f t="shared" si="8"/>
        <v>5.0000000000000072E-2</v>
      </c>
    </row>
    <row r="520" spans="1:10" x14ac:dyDescent="0.3">
      <c r="A520" s="26" t="s">
        <v>828</v>
      </c>
      <c r="B520" s="8" t="s">
        <v>829</v>
      </c>
      <c r="C520" s="8" t="s">
        <v>882</v>
      </c>
      <c r="D520" s="6">
        <v>5056003700787</v>
      </c>
      <c r="E520" s="9" t="s">
        <v>852</v>
      </c>
      <c r="F520" s="9" t="s">
        <v>881</v>
      </c>
      <c r="G520" s="31">
        <v>112.21350000000001</v>
      </c>
      <c r="I520" s="2">
        <f>VLOOKUP(C520,[1]Sheet1!$C:$G,5,FALSE)</f>
        <v>106.87</v>
      </c>
      <c r="J520" s="33">
        <f t="shared" si="8"/>
        <v>5.0000000000000051E-2</v>
      </c>
    </row>
    <row r="521" spans="1:10" x14ac:dyDescent="0.3">
      <c r="A521" s="26" t="s">
        <v>828</v>
      </c>
      <c r="B521" s="8" t="s">
        <v>829</v>
      </c>
      <c r="C521" s="8" t="s">
        <v>883</v>
      </c>
      <c r="D521" s="6">
        <v>5056003701647</v>
      </c>
      <c r="E521" s="9" t="s">
        <v>847</v>
      </c>
      <c r="F521" s="9" t="s">
        <v>884</v>
      </c>
      <c r="G521" s="31">
        <v>180.18</v>
      </c>
      <c r="I521" s="2">
        <f>VLOOKUP(C521,[1]Sheet1!$C:$G,5,FALSE)</f>
        <v>171.6</v>
      </c>
      <c r="J521" s="33">
        <f t="shared" si="8"/>
        <v>5.0000000000000072E-2</v>
      </c>
    </row>
    <row r="522" spans="1:10" x14ac:dyDescent="0.3">
      <c r="A522" s="26" t="s">
        <v>828</v>
      </c>
      <c r="B522" s="8" t="s">
        <v>829</v>
      </c>
      <c r="C522" s="8" t="s">
        <v>885</v>
      </c>
      <c r="D522" s="6">
        <v>5056003700794</v>
      </c>
      <c r="E522" s="9" t="s">
        <v>856</v>
      </c>
      <c r="F522" s="9" t="s">
        <v>884</v>
      </c>
      <c r="G522" s="31">
        <v>112.21350000000001</v>
      </c>
      <c r="I522" s="2">
        <f>VLOOKUP(C522,[1]Sheet1!$C:$G,5,FALSE)</f>
        <v>106.87</v>
      </c>
      <c r="J522" s="33">
        <f t="shared" si="8"/>
        <v>5.0000000000000051E-2</v>
      </c>
    </row>
    <row r="523" spans="1:10" x14ac:dyDescent="0.3">
      <c r="A523" s="26" t="s">
        <v>828</v>
      </c>
      <c r="B523" s="8" t="s">
        <v>93</v>
      </c>
      <c r="C523" s="8" t="s">
        <v>1712</v>
      </c>
      <c r="D523" s="6">
        <v>5056003773019</v>
      </c>
      <c r="E523" s="9" t="s">
        <v>1894</v>
      </c>
      <c r="F523" s="9" t="s">
        <v>1708</v>
      </c>
      <c r="G523" s="31">
        <v>233.12100000000001</v>
      </c>
      <c r="I523" s="2">
        <f>VLOOKUP(C523,[1]Sheet1!$C:$G,5,FALSE)</f>
        <v>222.02</v>
      </c>
      <c r="J523" s="33">
        <f t="shared" si="8"/>
        <v>4.9999999999999996E-2</v>
      </c>
    </row>
    <row r="524" spans="1:10" x14ac:dyDescent="0.3">
      <c r="A524" s="26" t="s">
        <v>828</v>
      </c>
      <c r="B524" s="8" t="s">
        <v>1461</v>
      </c>
      <c r="C524" s="8" t="s">
        <v>1499</v>
      </c>
      <c r="D524" s="6">
        <v>5056003702767</v>
      </c>
      <c r="E524" s="9" t="s">
        <v>1500</v>
      </c>
      <c r="F524" s="9" t="s">
        <v>1501</v>
      </c>
      <c r="G524" s="31">
        <v>159.1695</v>
      </c>
      <c r="I524" s="2">
        <f>VLOOKUP(C524,[1]Sheet1!$C:$G,5,FALSE)</f>
        <v>151.59</v>
      </c>
      <c r="J524" s="33">
        <f t="shared" si="8"/>
        <v>4.9999999999999975E-2</v>
      </c>
    </row>
    <row r="525" spans="1:10" x14ac:dyDescent="0.3">
      <c r="A525" s="26" t="s">
        <v>828</v>
      </c>
      <c r="B525" s="8" t="s">
        <v>1461</v>
      </c>
      <c r="C525" s="8" t="s">
        <v>1502</v>
      </c>
      <c r="D525" s="6">
        <v>5056003704419</v>
      </c>
      <c r="E525" s="9" t="s">
        <v>1503</v>
      </c>
      <c r="F525" s="9" t="s">
        <v>1504</v>
      </c>
      <c r="G525" s="31">
        <v>140.09099999999998</v>
      </c>
      <c r="I525" s="2">
        <f>VLOOKUP(C525,[1]Sheet1!$C:$G,5,FALSE)</f>
        <v>133.41999999999999</v>
      </c>
      <c r="J525" s="33">
        <f t="shared" si="8"/>
        <v>4.9999999999999947E-2</v>
      </c>
    </row>
    <row r="526" spans="1:10" x14ac:dyDescent="0.3">
      <c r="A526" s="26" t="s">
        <v>828</v>
      </c>
      <c r="B526" s="8" t="s">
        <v>1744</v>
      </c>
      <c r="C526" s="8" t="s">
        <v>1767</v>
      </c>
      <c r="D526" s="6">
        <v>5056003773040</v>
      </c>
      <c r="E526" s="9" t="s">
        <v>1765</v>
      </c>
      <c r="F526" s="9" t="s">
        <v>1766</v>
      </c>
      <c r="G526" s="31">
        <v>75.757500000000007</v>
      </c>
      <c r="I526" s="2">
        <f>VLOOKUP(C526,[1]Sheet1!$C:$G,5,FALSE)</f>
        <v>72.150000000000006</v>
      </c>
      <c r="J526" s="33">
        <f t="shared" si="8"/>
        <v>5.0000000000000017E-2</v>
      </c>
    </row>
    <row r="527" spans="1:10" x14ac:dyDescent="0.3">
      <c r="A527" s="26" t="s">
        <v>828</v>
      </c>
      <c r="B527" s="8" t="s">
        <v>1744</v>
      </c>
      <c r="C527" s="8" t="s">
        <v>1770</v>
      </c>
      <c r="D527" s="6">
        <v>5056003773057</v>
      </c>
      <c r="E527" s="9" t="s">
        <v>1768</v>
      </c>
      <c r="F527" s="9" t="s">
        <v>1769</v>
      </c>
      <c r="G527" s="31">
        <v>97.282500000000013</v>
      </c>
      <c r="I527" s="2">
        <f>VLOOKUP(C527,[1]Sheet1!$C:$G,5,FALSE)</f>
        <v>92.65</v>
      </c>
      <c r="J527" s="33">
        <f t="shared" si="8"/>
        <v>5.0000000000000079E-2</v>
      </c>
    </row>
    <row r="528" spans="1:10" x14ac:dyDescent="0.3">
      <c r="A528" s="26" t="s">
        <v>828</v>
      </c>
      <c r="B528" s="8" t="s">
        <v>1784</v>
      </c>
      <c r="C528" s="8" t="s">
        <v>1809</v>
      </c>
      <c r="D528" s="6">
        <v>5056003701104</v>
      </c>
      <c r="E528" s="9" t="s">
        <v>1810</v>
      </c>
      <c r="F528" s="9" t="s">
        <v>1811</v>
      </c>
      <c r="G528" s="31">
        <v>63.189</v>
      </c>
      <c r="I528" s="2">
        <f>VLOOKUP(C528,[1]Sheet1!$C:$G,5,FALSE)</f>
        <v>60.18</v>
      </c>
      <c r="J528" s="33">
        <f t="shared" si="8"/>
        <v>0.05</v>
      </c>
    </row>
    <row r="529" spans="1:10" x14ac:dyDescent="0.3">
      <c r="A529" s="26" t="s">
        <v>828</v>
      </c>
      <c r="B529" s="8" t="s">
        <v>1757</v>
      </c>
      <c r="C529" s="8" t="s">
        <v>1771</v>
      </c>
      <c r="D529" s="6">
        <v>5056003701043</v>
      </c>
      <c r="E529" s="9" t="s">
        <v>1772</v>
      </c>
      <c r="F529" s="9" t="s">
        <v>1501</v>
      </c>
      <c r="G529" s="31">
        <v>11.1195</v>
      </c>
      <c r="I529" s="2">
        <f>VLOOKUP(C529,[1]Sheet1!$C:$G,5,FALSE)</f>
        <v>10.59</v>
      </c>
      <c r="J529" s="33">
        <f t="shared" si="8"/>
        <v>5.0000000000000051E-2</v>
      </c>
    </row>
    <row r="530" spans="1:10" x14ac:dyDescent="0.3">
      <c r="A530" s="26" t="s">
        <v>828</v>
      </c>
      <c r="B530" s="8" t="s">
        <v>1784</v>
      </c>
      <c r="C530" s="8" t="s">
        <v>1812</v>
      </c>
      <c r="D530" s="6">
        <v>5056003701135</v>
      </c>
      <c r="E530" s="9" t="s">
        <v>1813</v>
      </c>
      <c r="F530" s="9" t="s">
        <v>1783</v>
      </c>
      <c r="G530" s="31">
        <v>15.246</v>
      </c>
      <c r="I530" s="2">
        <f>VLOOKUP(C530,[1]Sheet1!$C:$G,5,FALSE)</f>
        <v>14.52</v>
      </c>
      <c r="J530" s="33">
        <f t="shared" si="8"/>
        <v>5.0000000000000058E-2</v>
      </c>
    </row>
    <row r="531" spans="1:10" x14ac:dyDescent="0.3">
      <c r="A531" s="26" t="s">
        <v>828</v>
      </c>
      <c r="B531" s="8" t="s">
        <v>1784</v>
      </c>
      <c r="C531" s="8" t="s">
        <v>1814</v>
      </c>
      <c r="D531" s="6">
        <v>5056003701098</v>
      </c>
      <c r="E531" s="9" t="s">
        <v>1815</v>
      </c>
      <c r="F531" s="9" t="s">
        <v>1816</v>
      </c>
      <c r="G531" s="31">
        <v>61.750500000000002</v>
      </c>
      <c r="I531" s="2">
        <f>VLOOKUP(C531,[1]Sheet1!$C:$G,5,FALSE)</f>
        <v>58.81</v>
      </c>
      <c r="J531" s="33">
        <f t="shared" si="8"/>
        <v>0.05</v>
      </c>
    </row>
    <row r="532" spans="1:10" x14ac:dyDescent="0.3">
      <c r="A532" s="26" t="s">
        <v>828</v>
      </c>
      <c r="B532" s="8" t="s">
        <v>1533</v>
      </c>
      <c r="C532" s="8" t="s">
        <v>1537</v>
      </c>
      <c r="D532" s="6">
        <v>5056003701074</v>
      </c>
      <c r="E532" s="9" t="s">
        <v>1538</v>
      </c>
      <c r="F532" s="9" t="s">
        <v>1539</v>
      </c>
      <c r="G532" s="31">
        <v>103.65600000000001</v>
      </c>
      <c r="I532" s="2">
        <f>VLOOKUP(C532,[1]Sheet1!$C:$G,5,FALSE)</f>
        <v>98.72</v>
      </c>
      <c r="J532" s="33">
        <f t="shared" si="8"/>
        <v>5.0000000000000072E-2</v>
      </c>
    </row>
    <row r="533" spans="1:10" x14ac:dyDescent="0.3">
      <c r="A533" s="26" t="s">
        <v>828</v>
      </c>
      <c r="B533" s="8" t="s">
        <v>1757</v>
      </c>
      <c r="C533" s="8" t="s">
        <v>1773</v>
      </c>
      <c r="D533" s="6">
        <v>5056003701203</v>
      </c>
      <c r="E533" s="9" t="s">
        <v>1774</v>
      </c>
      <c r="F533" s="9" t="s">
        <v>1775</v>
      </c>
      <c r="G533" s="31">
        <v>121.42200000000001</v>
      </c>
      <c r="I533" s="2">
        <f>VLOOKUP(C533,[1]Sheet1!$C:$G,5,FALSE)</f>
        <v>115.64</v>
      </c>
      <c r="J533" s="33">
        <f t="shared" si="8"/>
        <v>5.0000000000000093E-2</v>
      </c>
    </row>
    <row r="534" spans="1:10" x14ac:dyDescent="0.3">
      <c r="A534" s="26" t="s">
        <v>828</v>
      </c>
      <c r="B534" s="8" t="s">
        <v>1757</v>
      </c>
      <c r="C534" s="8" t="s">
        <v>1776</v>
      </c>
      <c r="D534" s="6">
        <v>5056003701197</v>
      </c>
      <c r="E534" s="9" t="s">
        <v>1774</v>
      </c>
      <c r="F534" s="9" t="s">
        <v>1777</v>
      </c>
      <c r="G534" s="31">
        <v>63.819000000000003</v>
      </c>
      <c r="I534" s="2">
        <f>VLOOKUP(C534,[1]Sheet1!$C:$G,5,FALSE)</f>
        <v>60.78</v>
      </c>
      <c r="J534" s="33">
        <f t="shared" si="8"/>
        <v>5.0000000000000024E-2</v>
      </c>
    </row>
    <row r="535" spans="1:10" x14ac:dyDescent="0.3">
      <c r="A535" s="26" t="s">
        <v>828</v>
      </c>
      <c r="B535" s="8" t="s">
        <v>1461</v>
      </c>
      <c r="C535" s="8" t="s">
        <v>1505</v>
      </c>
      <c r="D535" s="6">
        <v>5056003701173</v>
      </c>
      <c r="E535" s="9" t="s">
        <v>1506</v>
      </c>
      <c r="F535" s="9" t="s">
        <v>1507</v>
      </c>
      <c r="G535" s="31">
        <v>32.308500000000002</v>
      </c>
      <c r="I535" s="2">
        <f>VLOOKUP(C535,[1]Sheet1!$C:$G,5,FALSE)</f>
        <v>30.77</v>
      </c>
      <c r="J535" s="33">
        <f t="shared" si="8"/>
        <v>5.0000000000000086E-2</v>
      </c>
    </row>
    <row r="536" spans="1:10" x14ac:dyDescent="0.3">
      <c r="A536" s="26" t="s">
        <v>828</v>
      </c>
      <c r="B536" s="8" t="s">
        <v>1461</v>
      </c>
      <c r="C536" s="8" t="s">
        <v>1508</v>
      </c>
      <c r="D536" s="6">
        <v>5056003702781</v>
      </c>
      <c r="E536" s="9" t="s">
        <v>1509</v>
      </c>
      <c r="F536" s="9" t="s">
        <v>1507</v>
      </c>
      <c r="G536" s="31">
        <v>26.3445</v>
      </c>
      <c r="I536" s="2">
        <f>VLOOKUP(C536,[1]Sheet1!$C:$G,5,FALSE)</f>
        <v>25.09</v>
      </c>
      <c r="J536" s="33">
        <f t="shared" si="8"/>
        <v>5.000000000000001E-2</v>
      </c>
    </row>
    <row r="537" spans="1:10" x14ac:dyDescent="0.3">
      <c r="A537" s="26" t="s">
        <v>828</v>
      </c>
      <c r="B537" s="8" t="s">
        <v>1461</v>
      </c>
      <c r="C537" s="8" t="s">
        <v>1510</v>
      </c>
      <c r="D537" s="6">
        <v>5056003704068</v>
      </c>
      <c r="E537" s="9" t="s">
        <v>1511</v>
      </c>
      <c r="F537" s="9" t="s">
        <v>1512</v>
      </c>
      <c r="G537" s="31">
        <v>32.308500000000002</v>
      </c>
      <c r="I537" s="2">
        <f>VLOOKUP(C537,[1]Sheet1!$C:$G,5,FALSE)</f>
        <v>30.77</v>
      </c>
      <c r="J537" s="33">
        <f t="shared" si="8"/>
        <v>5.0000000000000086E-2</v>
      </c>
    </row>
    <row r="538" spans="1:10" x14ac:dyDescent="0.3">
      <c r="A538" s="26" t="s">
        <v>828</v>
      </c>
      <c r="B538" s="8" t="s">
        <v>1461</v>
      </c>
      <c r="C538" s="8" t="s">
        <v>1513</v>
      </c>
      <c r="D538" s="6">
        <v>5056003701166</v>
      </c>
      <c r="E538" s="9" t="s">
        <v>1514</v>
      </c>
      <c r="F538" s="9" t="s">
        <v>1507</v>
      </c>
      <c r="G538" s="31">
        <v>30.093</v>
      </c>
      <c r="I538" s="2">
        <f>VLOOKUP(C538,[1]Sheet1!$C:$G,5,FALSE)</f>
        <v>28.66</v>
      </c>
      <c r="J538" s="33">
        <f t="shared" si="8"/>
        <v>4.9999999999999996E-2</v>
      </c>
    </row>
    <row r="539" spans="1:10" x14ac:dyDescent="0.3">
      <c r="A539" s="26" t="s">
        <v>828</v>
      </c>
      <c r="B539" s="8" t="s">
        <v>1784</v>
      </c>
      <c r="C539" s="8" t="s">
        <v>1817</v>
      </c>
      <c r="D539" s="6">
        <v>5056003701210</v>
      </c>
      <c r="E539" s="9" t="s">
        <v>1818</v>
      </c>
      <c r="F539" s="9" t="s">
        <v>1797</v>
      </c>
      <c r="G539" s="31">
        <v>25.168499999999998</v>
      </c>
      <c r="I539" s="2">
        <f>VLOOKUP(C539,[1]Sheet1!$C:$G,5,FALSE)</f>
        <v>23.97</v>
      </c>
      <c r="J539" s="33">
        <f t="shared" si="8"/>
        <v>4.9999999999999968E-2</v>
      </c>
    </row>
    <row r="540" spans="1:10" x14ac:dyDescent="0.3">
      <c r="A540" s="26" t="s">
        <v>828</v>
      </c>
      <c r="B540" s="8" t="s">
        <v>1784</v>
      </c>
      <c r="C540" s="8" t="s">
        <v>1819</v>
      </c>
      <c r="D540" s="6">
        <v>5056003704471</v>
      </c>
      <c r="E540" s="9" t="s">
        <v>1820</v>
      </c>
      <c r="F540" s="9" t="s">
        <v>1797</v>
      </c>
      <c r="G540" s="31">
        <v>25.042500000000004</v>
      </c>
      <c r="I540" s="2">
        <f>VLOOKUP(C540,[1]Sheet1!$C:$G,5,FALSE)</f>
        <v>23.85</v>
      </c>
      <c r="J540" s="33">
        <f t="shared" si="8"/>
        <v>5.0000000000000107E-2</v>
      </c>
    </row>
    <row r="541" spans="1:10" x14ac:dyDescent="0.3">
      <c r="A541" s="26" t="s">
        <v>828</v>
      </c>
      <c r="B541" s="8" t="s">
        <v>1784</v>
      </c>
      <c r="C541" s="8" t="s">
        <v>1821</v>
      </c>
      <c r="D541" s="6">
        <v>5056003701616</v>
      </c>
      <c r="E541" s="9" t="s">
        <v>1822</v>
      </c>
      <c r="F541" s="9" t="s">
        <v>1823</v>
      </c>
      <c r="G541" s="31">
        <v>32.948999999999998</v>
      </c>
      <c r="I541" s="2">
        <f>VLOOKUP(C541,[1]Sheet1!$C:$G,5,FALSE)</f>
        <v>31.38</v>
      </c>
      <c r="J541" s="33">
        <f t="shared" si="8"/>
        <v>4.9999999999999975E-2</v>
      </c>
    </row>
    <row r="542" spans="1:10" x14ac:dyDescent="0.3">
      <c r="A542" s="26" t="s">
        <v>828</v>
      </c>
      <c r="B542" s="8" t="s">
        <v>1784</v>
      </c>
      <c r="C542" s="8" t="s">
        <v>1824</v>
      </c>
      <c r="D542" s="6">
        <v>5056003701227</v>
      </c>
      <c r="E542" s="9" t="s">
        <v>1825</v>
      </c>
      <c r="F542" s="9" t="s">
        <v>1826</v>
      </c>
      <c r="G542" s="31">
        <v>34.377000000000002</v>
      </c>
      <c r="I542" s="2">
        <f>VLOOKUP(C542,[1]Sheet1!$C:$G,5,FALSE)</f>
        <v>32.74</v>
      </c>
      <c r="J542" s="33">
        <f t="shared" si="8"/>
        <v>5.000000000000001E-2</v>
      </c>
    </row>
    <row r="543" spans="1:10" ht="26" x14ac:dyDescent="0.3">
      <c r="A543" s="26" t="s">
        <v>828</v>
      </c>
      <c r="B543" s="8" t="s">
        <v>1622</v>
      </c>
      <c r="C543" s="8" t="s">
        <v>1629</v>
      </c>
      <c r="D543" s="6">
        <v>5056003701593</v>
      </c>
      <c r="E543" s="9" t="s">
        <v>1627</v>
      </c>
      <c r="F543" s="9" t="s">
        <v>1630</v>
      </c>
      <c r="G543" s="31">
        <v>22.197000000000003</v>
      </c>
      <c r="I543" s="2">
        <f>VLOOKUP(C543,[1]Sheet1!$C:$G,5,FALSE)</f>
        <v>21.14</v>
      </c>
      <c r="J543" s="33">
        <f t="shared" si="8"/>
        <v>5.00000000000001E-2</v>
      </c>
    </row>
    <row r="544" spans="1:10" x14ac:dyDescent="0.3">
      <c r="A544" s="26" t="s">
        <v>828</v>
      </c>
      <c r="B544" s="8" t="s">
        <v>1784</v>
      </c>
      <c r="C544" s="8" t="s">
        <v>1827</v>
      </c>
      <c r="D544" s="6">
        <v>5056003701128</v>
      </c>
      <c r="E544" s="9" t="s">
        <v>1828</v>
      </c>
      <c r="F544" s="9" t="s">
        <v>1829</v>
      </c>
      <c r="G544" s="31">
        <v>34.598800000000004</v>
      </c>
      <c r="I544" s="2">
        <f>VLOOKUP(C544,[1]Sheet1!$C:$G,5,FALSE)</f>
        <v>25.82</v>
      </c>
      <c r="J544" s="33">
        <f t="shared" si="8"/>
        <v>0.34000000000000014</v>
      </c>
    </row>
    <row r="545" spans="1:10" x14ac:dyDescent="0.3">
      <c r="A545" s="26" t="s">
        <v>828</v>
      </c>
      <c r="B545" s="8" t="s">
        <v>1784</v>
      </c>
      <c r="C545" s="8" t="s">
        <v>1830</v>
      </c>
      <c r="D545" s="6">
        <v>5056003704501</v>
      </c>
      <c r="E545" s="9" t="s">
        <v>1828</v>
      </c>
      <c r="F545" s="9" t="s">
        <v>1831</v>
      </c>
      <c r="G545" s="31">
        <v>28.6755</v>
      </c>
      <c r="I545" s="2">
        <f>VLOOKUP(C545,[1]Sheet1!$C:$G,5,FALSE)</f>
        <v>27.31</v>
      </c>
      <c r="J545" s="33">
        <f t="shared" si="8"/>
        <v>5.0000000000000031E-2</v>
      </c>
    </row>
    <row r="546" spans="1:10" x14ac:dyDescent="0.3">
      <c r="A546" s="26" t="s">
        <v>828</v>
      </c>
      <c r="B546" s="8" t="s">
        <v>1757</v>
      </c>
      <c r="C546" s="8" t="s">
        <v>1778</v>
      </c>
      <c r="D546" s="6">
        <v>5056003701050</v>
      </c>
      <c r="E546" s="9" t="s">
        <v>1779</v>
      </c>
      <c r="F546" s="9" t="s">
        <v>1780</v>
      </c>
      <c r="G546" s="31">
        <v>12.841500000000002</v>
      </c>
      <c r="I546" s="2">
        <f>VLOOKUP(C546,[1]Sheet1!$C:$G,5,FALSE)</f>
        <v>12.23</v>
      </c>
      <c r="J546" s="33">
        <f t="shared" si="8"/>
        <v>5.00000000000001E-2</v>
      </c>
    </row>
    <row r="547" spans="1:10" x14ac:dyDescent="0.3">
      <c r="A547" s="26" t="s">
        <v>828</v>
      </c>
      <c r="B547" s="8" t="s">
        <v>1461</v>
      </c>
      <c r="C547" s="8" t="s">
        <v>1515</v>
      </c>
      <c r="D547" s="6">
        <v>5056003701234</v>
      </c>
      <c r="E547" s="9" t="s">
        <v>1516</v>
      </c>
      <c r="F547" s="9" t="s">
        <v>1501</v>
      </c>
      <c r="G547" s="31">
        <v>119.73150000000001</v>
      </c>
      <c r="I547" s="2">
        <f>VLOOKUP(C547,[1]Sheet1!$C:$G,5,FALSE)</f>
        <v>114.03</v>
      </c>
      <c r="J547" s="33">
        <f t="shared" ref="J547:J597" si="9">(G547-I547)/I547</f>
        <v>5.0000000000000086E-2</v>
      </c>
    </row>
    <row r="548" spans="1:10" x14ac:dyDescent="0.3">
      <c r="A548" s="26" t="s">
        <v>828</v>
      </c>
      <c r="B548" s="35" t="s">
        <v>1461</v>
      </c>
      <c r="C548" s="8" t="s">
        <v>1517</v>
      </c>
      <c r="D548" s="6">
        <v>5056003701241</v>
      </c>
      <c r="E548" s="9" t="s">
        <v>1518</v>
      </c>
      <c r="F548" s="9" t="s">
        <v>1519</v>
      </c>
      <c r="G548" s="31">
        <v>67.58850000000001</v>
      </c>
      <c r="I548" s="2">
        <f>VLOOKUP(C548,[1]Sheet1!$C:$G,5,FALSE)</f>
        <v>64.37</v>
      </c>
      <c r="J548" s="33">
        <f t="shared" si="9"/>
        <v>5.0000000000000086E-2</v>
      </c>
    </row>
    <row r="549" spans="1:10" x14ac:dyDescent="0.3">
      <c r="A549" s="26" t="s">
        <v>828</v>
      </c>
      <c r="B549" s="35" t="s">
        <v>1461</v>
      </c>
      <c r="C549" s="35" t="s">
        <v>1520</v>
      </c>
      <c r="D549" s="6">
        <v>5056003704402</v>
      </c>
      <c r="E549" s="41" t="s">
        <v>1521</v>
      </c>
      <c r="F549" s="41" t="s">
        <v>1504</v>
      </c>
      <c r="G549" s="31">
        <v>121.54800000000002</v>
      </c>
      <c r="I549" s="2">
        <f>VLOOKUP(C549,[1]Sheet1!$C:$G,5,FALSE)</f>
        <v>115.76</v>
      </c>
      <c r="J549" s="33">
        <f t="shared" si="9"/>
        <v>5.0000000000000093E-2</v>
      </c>
    </row>
    <row r="550" spans="1:10" x14ac:dyDescent="0.3">
      <c r="A550" s="26" t="s">
        <v>828</v>
      </c>
      <c r="B550" s="35" t="s">
        <v>1461</v>
      </c>
      <c r="C550" s="35" t="s">
        <v>1522</v>
      </c>
      <c r="D550" s="6">
        <v>5056003701258</v>
      </c>
      <c r="E550" s="41" t="s">
        <v>1523</v>
      </c>
      <c r="F550" s="41" t="s">
        <v>1501</v>
      </c>
      <c r="G550" s="31">
        <v>67.58850000000001</v>
      </c>
      <c r="I550" s="2">
        <f>VLOOKUP(C550,[1]Sheet1!$C:$G,5,FALSE)</f>
        <v>64.37</v>
      </c>
      <c r="J550" s="33">
        <f t="shared" si="9"/>
        <v>5.0000000000000086E-2</v>
      </c>
    </row>
    <row r="551" spans="1:10" x14ac:dyDescent="0.3">
      <c r="A551" s="26" t="s">
        <v>828</v>
      </c>
      <c r="B551" s="8" t="s">
        <v>1757</v>
      </c>
      <c r="C551" s="8" t="s">
        <v>1781</v>
      </c>
      <c r="D551" s="6">
        <v>5056003701180</v>
      </c>
      <c r="E551" s="9" t="s">
        <v>1782</v>
      </c>
      <c r="F551" s="9" t="s">
        <v>1783</v>
      </c>
      <c r="G551" s="31">
        <v>15.959999999999999</v>
      </c>
      <c r="I551" s="2">
        <f>VLOOKUP(C551,[1]Sheet1!$C:$G,5,FALSE)</f>
        <v>15.2</v>
      </c>
      <c r="J551" s="33">
        <f t="shared" si="9"/>
        <v>4.9999999999999989E-2</v>
      </c>
    </row>
    <row r="552" spans="1:10" x14ac:dyDescent="0.3">
      <c r="A552" s="26" t="s">
        <v>828</v>
      </c>
      <c r="B552" s="8" t="s">
        <v>1533</v>
      </c>
      <c r="C552" s="35" t="s">
        <v>1540</v>
      </c>
      <c r="D552" s="6">
        <v>5056003739374</v>
      </c>
      <c r="E552" s="9" t="s">
        <v>822</v>
      </c>
      <c r="F552" s="9" t="s">
        <v>1541</v>
      </c>
      <c r="G552" s="31">
        <v>131.5335</v>
      </c>
      <c r="I552" s="2">
        <f>VLOOKUP(C552,[1]Sheet1!$C:$G,5,FALSE)</f>
        <v>125.27</v>
      </c>
      <c r="J552" s="33">
        <f t="shared" si="9"/>
        <v>5.0000000000000065E-2</v>
      </c>
    </row>
    <row r="553" spans="1:10" ht="39" x14ac:dyDescent="0.3">
      <c r="A553" s="26" t="s">
        <v>828</v>
      </c>
      <c r="B553" s="8" t="s">
        <v>1533</v>
      </c>
      <c r="C553" s="8" t="s">
        <v>1542</v>
      </c>
      <c r="D553" s="6">
        <v>5056003700411</v>
      </c>
      <c r="E553" s="9" t="s">
        <v>1543</v>
      </c>
      <c r="F553" s="9" t="s">
        <v>1544</v>
      </c>
      <c r="G553" s="31">
        <v>92.757000000000005</v>
      </c>
      <c r="I553" s="2">
        <f>VLOOKUP(C553,[1]Sheet1!$C:$G,5,FALSE)</f>
        <v>88.34</v>
      </c>
      <c r="J553" s="33">
        <f t="shared" si="9"/>
        <v>5.0000000000000017E-2</v>
      </c>
    </row>
    <row r="554" spans="1:10" x14ac:dyDescent="0.3">
      <c r="A554" s="20" t="s">
        <v>401</v>
      </c>
      <c r="B554" s="8" t="s">
        <v>509</v>
      </c>
      <c r="C554" s="8" t="s">
        <v>510</v>
      </c>
      <c r="D554" s="6">
        <v>5056003701562</v>
      </c>
      <c r="E554" s="9" t="s">
        <v>511</v>
      </c>
      <c r="F554" s="9" t="s">
        <v>421</v>
      </c>
      <c r="G554" s="31">
        <v>27.163500000000003</v>
      </c>
      <c r="I554" s="2">
        <f>VLOOKUP(C554,[1]Sheet1!$C:$G,5,FALSE)</f>
        <v>25.87</v>
      </c>
      <c r="J554" s="33">
        <f t="shared" si="9"/>
        <v>5.0000000000000065E-2</v>
      </c>
    </row>
    <row r="555" spans="1:10" ht="26" x14ac:dyDescent="0.3">
      <c r="A555" s="26" t="s">
        <v>828</v>
      </c>
      <c r="B555" s="8" t="s">
        <v>1606</v>
      </c>
      <c r="C555" s="8" t="s">
        <v>510</v>
      </c>
      <c r="D555" s="6">
        <v>5056003701562</v>
      </c>
      <c r="E555" s="9" t="s">
        <v>511</v>
      </c>
      <c r="F555" s="9" t="s">
        <v>1621</v>
      </c>
      <c r="G555" s="31">
        <v>27.163500000000003</v>
      </c>
      <c r="I555" s="2">
        <f>VLOOKUP(C555,[1]Sheet1!$C:$G,5,FALSE)</f>
        <v>25.87</v>
      </c>
      <c r="J555" s="33">
        <f t="shared" si="9"/>
        <v>5.0000000000000065E-2</v>
      </c>
    </row>
    <row r="556" spans="1:10" x14ac:dyDescent="0.3">
      <c r="A556" s="26" t="s">
        <v>828</v>
      </c>
      <c r="B556" s="8" t="s">
        <v>1622</v>
      </c>
      <c r="C556" s="8" t="s">
        <v>1631</v>
      </c>
      <c r="D556" s="6">
        <v>5056003700657</v>
      </c>
      <c r="E556" s="9" t="s">
        <v>1627</v>
      </c>
      <c r="F556" s="9" t="s">
        <v>1632</v>
      </c>
      <c r="G556" s="31">
        <v>25.819500000000001</v>
      </c>
      <c r="I556" s="2">
        <f>VLOOKUP(C556,[1]Sheet1!$C:$G,5,FALSE)</f>
        <v>24.59</v>
      </c>
      <c r="J556" s="33">
        <f t="shared" si="9"/>
        <v>5.0000000000000065E-2</v>
      </c>
    </row>
    <row r="557" spans="1:10" x14ac:dyDescent="0.3">
      <c r="A557" s="26" t="s">
        <v>828</v>
      </c>
      <c r="B557" s="8" t="s">
        <v>1606</v>
      </c>
      <c r="C557" s="8" t="s">
        <v>1609</v>
      </c>
      <c r="D557" s="6">
        <v>5056003704440</v>
      </c>
      <c r="E557" s="9" t="s">
        <v>1610</v>
      </c>
      <c r="F557" s="9" t="s">
        <v>1611</v>
      </c>
      <c r="G557" s="31">
        <v>51.114000000000004</v>
      </c>
      <c r="I557" s="2">
        <f>VLOOKUP(C557,[1]Sheet1!$C:$G,5,FALSE)</f>
        <v>48.68</v>
      </c>
      <c r="J557" s="33">
        <f t="shared" si="9"/>
        <v>5.0000000000000093E-2</v>
      </c>
    </row>
    <row r="558" spans="1:10" x14ac:dyDescent="0.3">
      <c r="A558" s="26" t="s">
        <v>828</v>
      </c>
      <c r="B558" s="8" t="s">
        <v>1533</v>
      </c>
      <c r="C558" s="8" t="s">
        <v>1545</v>
      </c>
      <c r="D558" s="6">
        <v>5056003701067</v>
      </c>
      <c r="E558" s="9" t="s">
        <v>1546</v>
      </c>
      <c r="F558" s="9" t="s">
        <v>1547</v>
      </c>
      <c r="G558" s="31">
        <v>114.6705</v>
      </c>
      <c r="I558" s="2">
        <f>VLOOKUP(C558,[1]Sheet1!$C:$G,5,FALSE)</f>
        <v>109.21</v>
      </c>
      <c r="J558" s="33">
        <f t="shared" si="9"/>
        <v>5.00000000000001E-2</v>
      </c>
    </row>
    <row r="559" spans="1:10" x14ac:dyDescent="0.3">
      <c r="A559" s="26" t="s">
        <v>828</v>
      </c>
      <c r="B559" s="8" t="s">
        <v>1400</v>
      </c>
      <c r="C559" s="8" t="s">
        <v>1401</v>
      </c>
      <c r="D559" s="6" t="s">
        <v>1402</v>
      </c>
      <c r="E559" s="9" t="s">
        <v>1403</v>
      </c>
      <c r="F559" s="9"/>
      <c r="G559" s="31" t="s">
        <v>92</v>
      </c>
      <c r="I559" s="2" t="str">
        <f>VLOOKUP(C559,[1]Sheet1!$C:$G,5,FALSE)</f>
        <v>POA</v>
      </c>
      <c r="J559" s="33"/>
    </row>
    <row r="560" spans="1:10" x14ac:dyDescent="0.3">
      <c r="A560" s="26" t="s">
        <v>828</v>
      </c>
      <c r="B560" s="8" t="s">
        <v>1400</v>
      </c>
      <c r="C560" s="8" t="s">
        <v>1428</v>
      </c>
      <c r="D560" s="6" t="s">
        <v>1429</v>
      </c>
      <c r="E560" s="9" t="s">
        <v>1430</v>
      </c>
      <c r="F560" s="9"/>
      <c r="G560" s="31" t="s">
        <v>92</v>
      </c>
      <c r="I560" s="2" t="str">
        <f>VLOOKUP(C560,[1]Sheet1!$C:$G,5,FALSE)</f>
        <v>POA</v>
      </c>
      <c r="J560" s="33"/>
    </row>
    <row r="561" spans="1:10" ht="26" x14ac:dyDescent="0.3">
      <c r="A561" s="26" t="s">
        <v>828</v>
      </c>
      <c r="B561" s="8" t="s">
        <v>1400</v>
      </c>
      <c r="C561" s="8" t="s">
        <v>1443</v>
      </c>
      <c r="D561" s="6" t="s">
        <v>1444</v>
      </c>
      <c r="E561" s="9" t="s">
        <v>1445</v>
      </c>
      <c r="F561" s="9"/>
      <c r="G561" s="31" t="s">
        <v>92</v>
      </c>
      <c r="I561" s="2" t="str">
        <f>VLOOKUP(C561,[1]Sheet1!$C:$G,5,FALSE)</f>
        <v>POA</v>
      </c>
      <c r="J561" s="33"/>
    </row>
    <row r="562" spans="1:10" ht="26" x14ac:dyDescent="0.3">
      <c r="A562" s="26" t="s">
        <v>828</v>
      </c>
      <c r="B562" s="8" t="s">
        <v>1400</v>
      </c>
      <c r="C562" s="8" t="s">
        <v>1407</v>
      </c>
      <c r="D562" s="6" t="s">
        <v>1408</v>
      </c>
      <c r="E562" s="9" t="s">
        <v>1409</v>
      </c>
      <c r="F562" s="9"/>
      <c r="G562" s="31" t="s">
        <v>92</v>
      </c>
      <c r="I562" s="2" t="str">
        <f>VLOOKUP(C562,[1]Sheet1!$C:$G,5,FALSE)</f>
        <v>POA</v>
      </c>
      <c r="J562" s="33"/>
    </row>
    <row r="563" spans="1:10" ht="26" x14ac:dyDescent="0.3">
      <c r="A563" s="26" t="s">
        <v>828</v>
      </c>
      <c r="B563" s="8" t="s">
        <v>1400</v>
      </c>
      <c r="C563" s="8" t="s">
        <v>1410</v>
      </c>
      <c r="D563" s="6" t="s">
        <v>1411</v>
      </c>
      <c r="E563" s="9" t="s">
        <v>1412</v>
      </c>
      <c r="F563" s="9"/>
      <c r="G563" s="31" t="s">
        <v>92</v>
      </c>
      <c r="I563" s="2" t="str">
        <f>VLOOKUP(C563,[1]Sheet1!$C:$G,5,FALSE)</f>
        <v>POA</v>
      </c>
      <c r="J563" s="33"/>
    </row>
    <row r="564" spans="1:10" x14ac:dyDescent="0.3">
      <c r="A564" s="26" t="s">
        <v>828</v>
      </c>
      <c r="B564" s="8" t="s">
        <v>1400</v>
      </c>
      <c r="C564" s="8" t="s">
        <v>1434</v>
      </c>
      <c r="D564" s="6" t="s">
        <v>1435</v>
      </c>
      <c r="E564" s="9" t="s">
        <v>1436</v>
      </c>
      <c r="F564" s="9"/>
      <c r="G564" s="31" t="s">
        <v>92</v>
      </c>
      <c r="I564" s="2" t="str">
        <f>VLOOKUP(C564,[1]Sheet1!$C:$G,5,FALSE)</f>
        <v>POA</v>
      </c>
      <c r="J564" s="33"/>
    </row>
    <row r="565" spans="1:10" ht="26" x14ac:dyDescent="0.3">
      <c r="A565" s="26" t="s">
        <v>828</v>
      </c>
      <c r="B565" s="8" t="s">
        <v>1400</v>
      </c>
      <c r="C565" s="8" t="s">
        <v>1419</v>
      </c>
      <c r="D565" s="6" t="s">
        <v>1420</v>
      </c>
      <c r="E565" s="9" t="s">
        <v>1421</v>
      </c>
      <c r="F565" s="9"/>
      <c r="G565" s="31" t="s">
        <v>92</v>
      </c>
      <c r="I565" s="2" t="str">
        <f>VLOOKUP(C565,[1]Sheet1!$C:$G,5,FALSE)</f>
        <v>POA</v>
      </c>
      <c r="J565" s="33"/>
    </row>
    <row r="566" spans="1:10" ht="26" x14ac:dyDescent="0.3">
      <c r="A566" s="26" t="s">
        <v>828</v>
      </c>
      <c r="B566" s="8" t="s">
        <v>1400</v>
      </c>
      <c r="C566" s="8" t="s">
        <v>1440</v>
      </c>
      <c r="D566" s="6" t="s">
        <v>1441</v>
      </c>
      <c r="E566" s="9" t="s">
        <v>1442</v>
      </c>
      <c r="F566" s="9"/>
      <c r="G566" s="31" t="s">
        <v>92</v>
      </c>
      <c r="I566" s="2" t="str">
        <f>VLOOKUP(C566,[1]Sheet1!$C:$G,5,FALSE)</f>
        <v>POA</v>
      </c>
      <c r="J566" s="33"/>
    </row>
    <row r="567" spans="1:10" ht="26" x14ac:dyDescent="0.3">
      <c r="A567" s="26" t="s">
        <v>828</v>
      </c>
      <c r="B567" s="8" t="s">
        <v>1400</v>
      </c>
      <c r="C567" s="8" t="s">
        <v>1425</v>
      </c>
      <c r="D567" s="6" t="s">
        <v>1426</v>
      </c>
      <c r="E567" s="9" t="s">
        <v>1427</v>
      </c>
      <c r="F567" s="9"/>
      <c r="G567" s="31" t="s">
        <v>92</v>
      </c>
      <c r="I567" s="2" t="str">
        <f>VLOOKUP(C567,[1]Sheet1!$C:$G,5,FALSE)</f>
        <v>POA</v>
      </c>
      <c r="J567" s="33"/>
    </row>
    <row r="568" spans="1:10" x14ac:dyDescent="0.3">
      <c r="A568" s="26" t="s">
        <v>828</v>
      </c>
      <c r="B568" s="8" t="s">
        <v>1400</v>
      </c>
      <c r="C568" s="8" t="s">
        <v>1437</v>
      </c>
      <c r="D568" s="6" t="s">
        <v>1438</v>
      </c>
      <c r="E568" s="9" t="s">
        <v>1439</v>
      </c>
      <c r="F568" s="9"/>
      <c r="G568" s="31" t="s">
        <v>92</v>
      </c>
      <c r="I568" s="2" t="str">
        <f>VLOOKUP(C568,[1]Sheet1!$C:$G,5,FALSE)</f>
        <v>POA</v>
      </c>
      <c r="J568" s="33"/>
    </row>
    <row r="569" spans="1:10" x14ac:dyDescent="0.3">
      <c r="A569" s="26" t="s">
        <v>828</v>
      </c>
      <c r="B569" s="8" t="s">
        <v>1400</v>
      </c>
      <c r="C569" s="8" t="s">
        <v>1431</v>
      </c>
      <c r="D569" s="6" t="s">
        <v>1432</v>
      </c>
      <c r="E569" s="9" t="s">
        <v>1433</v>
      </c>
      <c r="F569" s="9"/>
      <c r="G569" s="31" t="s">
        <v>92</v>
      </c>
      <c r="I569" s="2" t="str">
        <f>VLOOKUP(C569,[1]Sheet1!$C:$G,5,FALSE)</f>
        <v>POA</v>
      </c>
      <c r="J569" s="33"/>
    </row>
    <row r="570" spans="1:10" x14ac:dyDescent="0.3">
      <c r="A570" s="26" t="s">
        <v>828</v>
      </c>
      <c r="B570" s="8" t="s">
        <v>1400</v>
      </c>
      <c r="C570" s="8" t="s">
        <v>1404</v>
      </c>
      <c r="D570" s="6" t="s">
        <v>1405</v>
      </c>
      <c r="E570" s="9" t="s">
        <v>1406</v>
      </c>
      <c r="F570" s="9"/>
      <c r="G570" s="31" t="s">
        <v>92</v>
      </c>
      <c r="I570" s="2" t="str">
        <f>VLOOKUP(C570,[1]Sheet1!$C:$G,5,FALSE)</f>
        <v>POA</v>
      </c>
      <c r="J570" s="33"/>
    </row>
    <row r="571" spans="1:10" ht="26" x14ac:dyDescent="0.3">
      <c r="A571" s="26" t="s">
        <v>828</v>
      </c>
      <c r="B571" s="8" t="s">
        <v>1400</v>
      </c>
      <c r="C571" s="8" t="s">
        <v>1446</v>
      </c>
      <c r="D571" s="6" t="s">
        <v>1447</v>
      </c>
      <c r="E571" s="9" t="s">
        <v>1448</v>
      </c>
      <c r="F571" s="9"/>
      <c r="G571" s="31" t="s">
        <v>92</v>
      </c>
      <c r="I571" s="2" t="str">
        <f>VLOOKUP(C571,[1]Sheet1!$C:$G,5,FALSE)</f>
        <v>POA</v>
      </c>
      <c r="J571" s="33"/>
    </row>
    <row r="572" spans="1:10" x14ac:dyDescent="0.3">
      <c r="A572" s="26" t="s">
        <v>828</v>
      </c>
      <c r="B572" s="8" t="s">
        <v>1400</v>
      </c>
      <c r="C572" s="8" t="s">
        <v>1413</v>
      </c>
      <c r="D572" s="6" t="s">
        <v>1414</v>
      </c>
      <c r="E572" s="9" t="s">
        <v>1415</v>
      </c>
      <c r="F572" s="9"/>
      <c r="G572" s="31" t="s">
        <v>92</v>
      </c>
      <c r="I572" s="2" t="str">
        <f>VLOOKUP(C572,[1]Sheet1!$C:$G,5,FALSE)</f>
        <v>POA</v>
      </c>
      <c r="J572" s="33"/>
    </row>
    <row r="573" spans="1:10" ht="26" x14ac:dyDescent="0.3">
      <c r="A573" s="26" t="s">
        <v>828</v>
      </c>
      <c r="B573" s="8" t="s">
        <v>1400</v>
      </c>
      <c r="C573" s="8" t="s">
        <v>1416</v>
      </c>
      <c r="D573" s="6" t="s">
        <v>1417</v>
      </c>
      <c r="E573" s="9" t="s">
        <v>1418</v>
      </c>
      <c r="F573" s="9"/>
      <c r="G573" s="31" t="s">
        <v>92</v>
      </c>
      <c r="I573" s="2" t="str">
        <f>VLOOKUP(C573,[1]Sheet1!$C:$G,5,FALSE)</f>
        <v>POA</v>
      </c>
      <c r="J573" s="33"/>
    </row>
    <row r="574" spans="1:10" x14ac:dyDescent="0.3">
      <c r="A574" s="26" t="s">
        <v>828</v>
      </c>
      <c r="B574" s="8" t="s">
        <v>1400</v>
      </c>
      <c r="C574" s="8" t="s">
        <v>1422</v>
      </c>
      <c r="D574" s="6" t="s">
        <v>1423</v>
      </c>
      <c r="E574" s="9" t="s">
        <v>1424</v>
      </c>
      <c r="F574" s="9"/>
      <c r="G574" s="31" t="s">
        <v>92</v>
      </c>
      <c r="I574" s="2" t="str">
        <f>VLOOKUP(C574,[1]Sheet1!$C:$G,5,FALSE)</f>
        <v>POA</v>
      </c>
      <c r="J574" s="33"/>
    </row>
    <row r="575" spans="1:10" x14ac:dyDescent="0.3">
      <c r="A575" s="26" t="s">
        <v>828</v>
      </c>
      <c r="B575" s="8" t="s">
        <v>1087</v>
      </c>
      <c r="C575" s="8" t="s">
        <v>1187</v>
      </c>
      <c r="D575" s="6">
        <v>5056003700268</v>
      </c>
      <c r="E575" s="9" t="s">
        <v>1188</v>
      </c>
      <c r="F575" s="9" t="s">
        <v>1125</v>
      </c>
      <c r="G575" s="31">
        <v>18.070500000000003</v>
      </c>
      <c r="I575" s="2">
        <f>VLOOKUP(C575,[1]Sheet1!$C:$G,5,FALSE)</f>
        <v>17.21</v>
      </c>
      <c r="J575" s="33">
        <f t="shared" si="9"/>
        <v>5.00000000000001E-2</v>
      </c>
    </row>
    <row r="576" spans="1:10" x14ac:dyDescent="0.3">
      <c r="A576" s="26" t="s">
        <v>828</v>
      </c>
      <c r="B576" s="8" t="s">
        <v>1087</v>
      </c>
      <c r="C576" s="25" t="s">
        <v>1189</v>
      </c>
      <c r="D576" s="6">
        <v>5056003772555</v>
      </c>
      <c r="E576" s="9" t="s">
        <v>1190</v>
      </c>
      <c r="F576" s="9" t="s">
        <v>1191</v>
      </c>
      <c r="G576" s="31">
        <v>3.3285</v>
      </c>
      <c r="I576" s="2">
        <f>VLOOKUP(C576,[1]Sheet1!$C:$G,5,FALSE)</f>
        <v>3.17</v>
      </c>
      <c r="J576" s="33">
        <f t="shared" si="9"/>
        <v>5.0000000000000031E-2</v>
      </c>
    </row>
    <row r="577" spans="1:10" x14ac:dyDescent="0.3">
      <c r="A577" s="26" t="s">
        <v>828</v>
      </c>
      <c r="B577" s="8" t="s">
        <v>1087</v>
      </c>
      <c r="C577" s="8" t="s">
        <v>1200</v>
      </c>
      <c r="D577" s="6">
        <v>5056003702002</v>
      </c>
      <c r="E577" s="9" t="s">
        <v>1201</v>
      </c>
      <c r="F577" s="9" t="s">
        <v>1125</v>
      </c>
      <c r="G577" s="31">
        <v>26.260500000000004</v>
      </c>
      <c r="I577" s="2">
        <f>VLOOKUP(C577,[1]Sheet1!$C:$G,5,FALSE)</f>
        <v>25.01</v>
      </c>
      <c r="J577" s="33">
        <f t="shared" si="9"/>
        <v>5.0000000000000093E-2</v>
      </c>
    </row>
    <row r="578" spans="1:10" x14ac:dyDescent="0.3">
      <c r="A578" s="26" t="s">
        <v>828</v>
      </c>
      <c r="B578" s="8" t="s">
        <v>945</v>
      </c>
      <c r="C578" s="25" t="s">
        <v>978</v>
      </c>
      <c r="D578" s="6">
        <v>5056003732337</v>
      </c>
      <c r="E578" s="12" t="s">
        <v>979</v>
      </c>
      <c r="F578" s="9" t="s">
        <v>980</v>
      </c>
      <c r="G578" s="31">
        <v>676.053</v>
      </c>
      <c r="I578" s="2">
        <f>VLOOKUP(C578,[1]Sheet1!$C:$G,5,FALSE)</f>
        <v>643.86</v>
      </c>
      <c r="J578" s="33">
        <f t="shared" si="9"/>
        <v>4.9999999999999975E-2</v>
      </c>
    </row>
    <row r="579" spans="1:10" x14ac:dyDescent="0.3">
      <c r="A579" s="26" t="s">
        <v>828</v>
      </c>
      <c r="B579" s="8" t="s">
        <v>945</v>
      </c>
      <c r="C579" s="8" t="s">
        <v>966</v>
      </c>
      <c r="D579" s="6">
        <v>5056003777369</v>
      </c>
      <c r="E579" s="9" t="s">
        <v>964</v>
      </c>
      <c r="F579" s="9" t="s">
        <v>967</v>
      </c>
      <c r="G579" s="31" t="s">
        <v>92</v>
      </c>
      <c r="I579" s="2" t="str">
        <f>VLOOKUP(C579,[1]Sheet1!$C:$G,5,FALSE)</f>
        <v>POA</v>
      </c>
      <c r="J579" s="33"/>
    </row>
    <row r="580" spans="1:10" x14ac:dyDescent="0.3">
      <c r="A580" s="26" t="s">
        <v>828</v>
      </c>
      <c r="B580" s="8" t="s">
        <v>945</v>
      </c>
      <c r="C580" s="8" t="s">
        <v>968</v>
      </c>
      <c r="D580" s="6">
        <v>5056003777376</v>
      </c>
      <c r="E580" s="9" t="s">
        <v>964</v>
      </c>
      <c r="F580" s="9" t="s">
        <v>969</v>
      </c>
      <c r="G580" s="31" t="s">
        <v>92</v>
      </c>
      <c r="I580" s="2" t="str">
        <f>VLOOKUP(C580,[1]Sheet1!$C:$G,5,FALSE)</f>
        <v>POA</v>
      </c>
      <c r="J580" s="33"/>
    </row>
    <row r="581" spans="1:10" x14ac:dyDescent="0.3">
      <c r="A581" s="26" t="s">
        <v>828</v>
      </c>
      <c r="B581" s="8" t="s">
        <v>945</v>
      </c>
      <c r="C581" s="8" t="s">
        <v>970</v>
      </c>
      <c r="D581" s="6">
        <v>5056003777383</v>
      </c>
      <c r="E581" s="9" t="s">
        <v>964</v>
      </c>
      <c r="F581" s="9" t="s">
        <v>971</v>
      </c>
      <c r="G581" s="31" t="s">
        <v>92</v>
      </c>
      <c r="I581" s="2" t="str">
        <f>VLOOKUP(C581,[1]Sheet1!$C:$G,5,FALSE)</f>
        <v>POA</v>
      </c>
      <c r="J581" s="33"/>
    </row>
    <row r="582" spans="1:10" x14ac:dyDescent="0.3">
      <c r="A582" s="26" t="s">
        <v>828</v>
      </c>
      <c r="B582" s="8" t="s">
        <v>945</v>
      </c>
      <c r="C582" s="8" t="s">
        <v>963</v>
      </c>
      <c r="D582" s="6">
        <v>5056003777390</v>
      </c>
      <c r="E582" s="9" t="s">
        <v>964</v>
      </c>
      <c r="F582" s="9" t="s">
        <v>965</v>
      </c>
      <c r="G582" s="31" t="s">
        <v>92</v>
      </c>
      <c r="I582" s="2" t="str">
        <f>VLOOKUP(C582,[1]Sheet1!$C:$G,5,FALSE)</f>
        <v>POA</v>
      </c>
      <c r="J582" s="33"/>
    </row>
    <row r="583" spans="1:10" x14ac:dyDescent="0.3">
      <c r="A583" s="26" t="s">
        <v>828</v>
      </c>
      <c r="B583" s="8" t="s">
        <v>945</v>
      </c>
      <c r="C583" s="8" t="s">
        <v>972</v>
      </c>
      <c r="D583" s="6">
        <v>5056003777406</v>
      </c>
      <c r="E583" s="9" t="s">
        <v>964</v>
      </c>
      <c r="F583" s="9" t="s">
        <v>973</v>
      </c>
      <c r="G583" s="31" t="s">
        <v>92</v>
      </c>
      <c r="I583" s="2" t="str">
        <f>VLOOKUP(C583,[1]Sheet1!$C:$G,5,FALSE)</f>
        <v>POA</v>
      </c>
      <c r="J583" s="33"/>
    </row>
    <row r="584" spans="1:10" x14ac:dyDescent="0.3">
      <c r="A584" s="26" t="s">
        <v>828</v>
      </c>
      <c r="B584" s="8" t="s">
        <v>945</v>
      </c>
      <c r="C584" s="8" t="s">
        <v>974</v>
      </c>
      <c r="D584" s="6">
        <v>5056003777413</v>
      </c>
      <c r="E584" s="9" t="s">
        <v>964</v>
      </c>
      <c r="F584" s="9" t="s">
        <v>975</v>
      </c>
      <c r="G584" s="31" t="s">
        <v>92</v>
      </c>
      <c r="I584" s="2" t="str">
        <f>VLOOKUP(C584,[1]Sheet1!$C:$G,5,FALSE)</f>
        <v>POA</v>
      </c>
      <c r="J584" s="33"/>
    </row>
    <row r="585" spans="1:10" x14ac:dyDescent="0.3">
      <c r="A585" s="26" t="s">
        <v>828</v>
      </c>
      <c r="B585" s="8" t="s">
        <v>945</v>
      </c>
      <c r="C585" s="8" t="s">
        <v>976</v>
      </c>
      <c r="D585" s="6">
        <v>5056003777420</v>
      </c>
      <c r="E585" s="9" t="s">
        <v>964</v>
      </c>
      <c r="F585" s="9" t="s">
        <v>977</v>
      </c>
      <c r="G585" s="31" t="s">
        <v>92</v>
      </c>
      <c r="I585" s="2" t="str">
        <f>VLOOKUP(C585,[1]Sheet1!$C:$G,5,FALSE)</f>
        <v>POA</v>
      </c>
      <c r="J585" s="33"/>
    </row>
    <row r="586" spans="1:10" x14ac:dyDescent="0.3">
      <c r="A586" s="26" t="s">
        <v>828</v>
      </c>
      <c r="B586" s="8" t="s">
        <v>945</v>
      </c>
      <c r="C586" s="25" t="s">
        <v>981</v>
      </c>
      <c r="D586" s="6">
        <v>5056003732344</v>
      </c>
      <c r="E586" s="12" t="s">
        <v>982</v>
      </c>
      <c r="F586" s="9" t="s">
        <v>980</v>
      </c>
      <c r="G586" s="31">
        <v>676.053</v>
      </c>
      <c r="I586" s="2">
        <f>VLOOKUP(C586,[1]Sheet1!$C:$G,5,FALSE)</f>
        <v>643.86</v>
      </c>
      <c r="J586" s="33">
        <f t="shared" si="9"/>
        <v>4.9999999999999975E-2</v>
      </c>
    </row>
    <row r="587" spans="1:10" x14ac:dyDescent="0.3">
      <c r="A587" s="26" t="s">
        <v>828</v>
      </c>
      <c r="B587" s="8" t="s">
        <v>945</v>
      </c>
      <c r="C587" s="8" t="s">
        <v>955</v>
      </c>
      <c r="D587" s="6">
        <v>5056003777321</v>
      </c>
      <c r="E587" s="9" t="s">
        <v>951</v>
      </c>
      <c r="F587" s="9" t="s">
        <v>956</v>
      </c>
      <c r="G587" s="31" t="s">
        <v>92</v>
      </c>
      <c r="I587" s="2" t="str">
        <f>VLOOKUP(C587,[1]Sheet1!$C:$G,5,FALSE)</f>
        <v>POA</v>
      </c>
      <c r="J587" s="33"/>
    </row>
    <row r="588" spans="1:10" x14ac:dyDescent="0.3">
      <c r="A588" s="26" t="s">
        <v>828</v>
      </c>
      <c r="B588" s="8" t="s">
        <v>945</v>
      </c>
      <c r="C588" s="8" t="s">
        <v>950</v>
      </c>
      <c r="D588" s="6">
        <v>5056003777307</v>
      </c>
      <c r="E588" s="9" t="s">
        <v>951</v>
      </c>
      <c r="F588" s="9" t="s">
        <v>952</v>
      </c>
      <c r="G588" s="31" t="s">
        <v>92</v>
      </c>
      <c r="I588" s="2" t="str">
        <f>VLOOKUP(C588,[1]Sheet1!$C:$G,5,FALSE)</f>
        <v>POA</v>
      </c>
      <c r="J588" s="33"/>
    </row>
    <row r="589" spans="1:10" x14ac:dyDescent="0.3">
      <c r="A589" s="26" t="s">
        <v>828</v>
      </c>
      <c r="B589" s="8" t="s">
        <v>945</v>
      </c>
      <c r="C589" s="8" t="s">
        <v>953</v>
      </c>
      <c r="D589" s="6">
        <v>5056003777314</v>
      </c>
      <c r="E589" s="9" t="s">
        <v>951</v>
      </c>
      <c r="F589" s="9" t="s">
        <v>954</v>
      </c>
      <c r="G589" s="31" t="s">
        <v>92</v>
      </c>
      <c r="I589" s="2" t="str">
        <f>VLOOKUP(C589,[1]Sheet1!$C:$G,5,FALSE)</f>
        <v>POA</v>
      </c>
      <c r="J589" s="33"/>
    </row>
    <row r="590" spans="1:10" x14ac:dyDescent="0.3">
      <c r="A590" s="26" t="s">
        <v>828</v>
      </c>
      <c r="B590" s="8" t="s">
        <v>945</v>
      </c>
      <c r="C590" s="8" t="s">
        <v>957</v>
      </c>
      <c r="D590" s="6">
        <v>5056003777338</v>
      </c>
      <c r="E590" s="9" t="s">
        <v>951</v>
      </c>
      <c r="F590" s="9" t="s">
        <v>958</v>
      </c>
      <c r="G590" s="31" t="s">
        <v>92</v>
      </c>
      <c r="I590" s="2" t="str">
        <f>VLOOKUP(C590,[1]Sheet1!$C:$G,5,FALSE)</f>
        <v>POA</v>
      </c>
      <c r="J590" s="33"/>
    </row>
    <row r="591" spans="1:10" x14ac:dyDescent="0.3">
      <c r="A591" s="26" t="s">
        <v>828</v>
      </c>
      <c r="B591" s="8" t="s">
        <v>945</v>
      </c>
      <c r="C591" s="8" t="s">
        <v>959</v>
      </c>
      <c r="D591" s="6">
        <v>5056003777345</v>
      </c>
      <c r="E591" s="9" t="s">
        <v>951</v>
      </c>
      <c r="F591" s="9" t="s">
        <v>960</v>
      </c>
      <c r="G591" s="31" t="s">
        <v>92</v>
      </c>
      <c r="I591" s="2" t="str">
        <f>VLOOKUP(C591,[1]Sheet1!$C:$G,5,FALSE)</f>
        <v>POA</v>
      </c>
      <c r="J591" s="33"/>
    </row>
    <row r="592" spans="1:10" x14ac:dyDescent="0.3">
      <c r="A592" s="26" t="s">
        <v>828</v>
      </c>
      <c r="B592" s="8" t="s">
        <v>945</v>
      </c>
      <c r="C592" s="8" t="s">
        <v>961</v>
      </c>
      <c r="D592" s="6">
        <v>5056003777352</v>
      </c>
      <c r="E592" s="9" t="s">
        <v>951</v>
      </c>
      <c r="F592" s="9" t="s">
        <v>962</v>
      </c>
      <c r="G592" s="31" t="s">
        <v>92</v>
      </c>
      <c r="I592" s="2" t="str">
        <f>VLOOKUP(C592,[1]Sheet1!$C:$G,5,FALSE)</f>
        <v>POA</v>
      </c>
      <c r="J592" s="33"/>
    </row>
    <row r="593" spans="1:10" x14ac:dyDescent="0.3">
      <c r="A593" s="26" t="s">
        <v>828</v>
      </c>
      <c r="B593" s="8" t="s">
        <v>945</v>
      </c>
      <c r="C593" s="25" t="s">
        <v>983</v>
      </c>
      <c r="D593" s="6">
        <v>5056003732351</v>
      </c>
      <c r="E593" s="12" t="s">
        <v>984</v>
      </c>
      <c r="F593" s="9" t="s">
        <v>980</v>
      </c>
      <c r="G593" s="31">
        <v>848.83050000000003</v>
      </c>
      <c r="I593" s="2">
        <f>VLOOKUP(C593,[1]Sheet1!$C:$G,5,FALSE)</f>
        <v>808.41</v>
      </c>
      <c r="J593" s="33">
        <f t="shared" si="9"/>
        <v>5.0000000000000079E-2</v>
      </c>
    </row>
    <row r="594" spans="1:10" x14ac:dyDescent="0.3">
      <c r="A594" s="26" t="s">
        <v>828</v>
      </c>
      <c r="B594" s="8" t="s">
        <v>945</v>
      </c>
      <c r="C594" s="25" t="s">
        <v>985</v>
      </c>
      <c r="D594" s="6">
        <v>5056003732368</v>
      </c>
      <c r="E594" s="12" t="s">
        <v>986</v>
      </c>
      <c r="F594" s="9" t="s">
        <v>980</v>
      </c>
      <c r="G594" s="31">
        <v>848.83050000000003</v>
      </c>
      <c r="I594" s="2">
        <f>VLOOKUP(C594,[1]Sheet1!$C:$G,5,FALSE)</f>
        <v>808.41</v>
      </c>
      <c r="J594" s="33">
        <f t="shared" si="9"/>
        <v>5.0000000000000079E-2</v>
      </c>
    </row>
    <row r="595" spans="1:10" x14ac:dyDescent="0.3">
      <c r="A595" s="26" t="s">
        <v>828</v>
      </c>
      <c r="B595" s="8" t="s">
        <v>945</v>
      </c>
      <c r="C595" s="25" t="s">
        <v>2169</v>
      </c>
      <c r="D595" s="6">
        <v>5056003780567</v>
      </c>
      <c r="E595" s="12" t="s">
        <v>2210</v>
      </c>
      <c r="F595" s="9" t="s">
        <v>2172</v>
      </c>
      <c r="G595" s="31">
        <v>1205.9775</v>
      </c>
      <c r="I595" s="2">
        <f>VLOOKUP(C595,[1]Sheet1!$C:$G,5,FALSE)</f>
        <v>1148.55</v>
      </c>
      <c r="J595" s="33">
        <f t="shared" si="9"/>
        <v>5.000000000000001E-2</v>
      </c>
    </row>
    <row r="596" spans="1:10" x14ac:dyDescent="0.3">
      <c r="A596" s="26" t="s">
        <v>828</v>
      </c>
      <c r="B596" s="8" t="s">
        <v>945</v>
      </c>
      <c r="C596" s="25" t="s">
        <v>2170</v>
      </c>
      <c r="D596" s="6">
        <v>5056003780574</v>
      </c>
      <c r="E596" s="12" t="s">
        <v>2211</v>
      </c>
      <c r="F596" s="9" t="s">
        <v>2200</v>
      </c>
      <c r="G596" s="31">
        <v>1205.9775</v>
      </c>
      <c r="I596" s="2">
        <f>VLOOKUP(C596,[1]Sheet1!$C:$G,5,FALSE)</f>
        <v>1148.55</v>
      </c>
      <c r="J596" s="33">
        <f t="shared" si="9"/>
        <v>5.000000000000001E-2</v>
      </c>
    </row>
    <row r="597" spans="1:10" x14ac:dyDescent="0.3">
      <c r="A597" s="26" t="s">
        <v>828</v>
      </c>
      <c r="B597" s="8" t="s">
        <v>945</v>
      </c>
      <c r="C597" s="25" t="s">
        <v>2171</v>
      </c>
      <c r="D597" s="6">
        <v>5056003780581</v>
      </c>
      <c r="E597" s="12" t="s">
        <v>2212</v>
      </c>
      <c r="F597" s="9" t="s">
        <v>2201</v>
      </c>
      <c r="G597" s="31">
        <v>1205.9775</v>
      </c>
      <c r="I597" s="2">
        <f>VLOOKUP(C597,[1]Sheet1!$C:$G,5,FALSE)</f>
        <v>1148.55</v>
      </c>
      <c r="J597" s="33">
        <f t="shared" si="9"/>
        <v>5.000000000000001E-2</v>
      </c>
    </row>
    <row r="598" spans="1:10" x14ac:dyDescent="0.3">
      <c r="A598" s="26" t="s">
        <v>828</v>
      </c>
      <c r="B598" s="8" t="s">
        <v>1356</v>
      </c>
      <c r="C598" s="8" t="s">
        <v>1357</v>
      </c>
      <c r="D598" s="6">
        <v>5056003702187</v>
      </c>
      <c r="E598" s="9" t="s">
        <v>1358</v>
      </c>
      <c r="F598" s="9" t="s">
        <v>1359</v>
      </c>
      <c r="G598" s="31" t="s">
        <v>92</v>
      </c>
      <c r="I598" s="2" t="str">
        <f>VLOOKUP(C598,[1]Sheet1!$C:$G,5,FALSE)</f>
        <v>POA</v>
      </c>
      <c r="J598" s="33"/>
    </row>
    <row r="599" spans="1:10" x14ac:dyDescent="0.3">
      <c r="A599" s="26" t="s">
        <v>828</v>
      </c>
      <c r="B599" s="8" t="s">
        <v>1356</v>
      </c>
      <c r="C599" s="8" t="s">
        <v>1360</v>
      </c>
      <c r="D599" s="6">
        <v>5056003702316</v>
      </c>
      <c r="E599" s="9" t="s">
        <v>430</v>
      </c>
      <c r="F599" s="9" t="s">
        <v>1359</v>
      </c>
      <c r="G599" s="31" t="s">
        <v>92</v>
      </c>
      <c r="I599" s="2" t="str">
        <f>VLOOKUP(C599,[1]Sheet1!$C:$G,5,FALSE)</f>
        <v>POA</v>
      </c>
      <c r="J599" s="33"/>
    </row>
    <row r="600" spans="1:10" x14ac:dyDescent="0.3">
      <c r="A600" s="26" t="s">
        <v>828</v>
      </c>
      <c r="B600" s="8" t="s">
        <v>1356</v>
      </c>
      <c r="C600" s="8" t="s">
        <v>1361</v>
      </c>
      <c r="D600" s="6">
        <v>5056003702286</v>
      </c>
      <c r="E600" s="9" t="s">
        <v>1362</v>
      </c>
      <c r="F600" s="9" t="s">
        <v>1359</v>
      </c>
      <c r="G600" s="31" t="s">
        <v>92</v>
      </c>
      <c r="I600" s="2" t="str">
        <f>VLOOKUP(C600,[1]Sheet1!$C:$G,5,FALSE)</f>
        <v>POA</v>
      </c>
      <c r="J600" s="33"/>
    </row>
    <row r="601" spans="1:10" x14ac:dyDescent="0.3">
      <c r="A601" s="26" t="s">
        <v>828</v>
      </c>
      <c r="B601" s="8" t="s">
        <v>1356</v>
      </c>
      <c r="C601" s="8" t="s">
        <v>1363</v>
      </c>
      <c r="D601" s="6">
        <v>5056003702279</v>
      </c>
      <c r="E601" s="9" t="s">
        <v>1364</v>
      </c>
      <c r="F601" s="9" t="s">
        <v>1359</v>
      </c>
      <c r="G601" s="31" t="s">
        <v>92</v>
      </c>
      <c r="I601" s="2" t="str">
        <f>VLOOKUP(C601,[1]Sheet1!$C:$G,5,FALSE)</f>
        <v>POA</v>
      </c>
      <c r="J601" s="33"/>
    </row>
    <row r="602" spans="1:10" x14ac:dyDescent="0.3">
      <c r="A602" s="26" t="s">
        <v>828</v>
      </c>
      <c r="B602" s="8" t="s">
        <v>1356</v>
      </c>
      <c r="C602" s="8" t="s">
        <v>1365</v>
      </c>
      <c r="D602" s="6">
        <v>5056003702309</v>
      </c>
      <c r="E602" s="9" t="s">
        <v>1366</v>
      </c>
      <c r="F602" s="9" t="s">
        <v>1359</v>
      </c>
      <c r="G602" s="31" t="s">
        <v>92</v>
      </c>
      <c r="I602" s="2" t="str">
        <f>VLOOKUP(C602,[1]Sheet1!$C:$G,5,FALSE)</f>
        <v>POA</v>
      </c>
      <c r="J602" s="33"/>
    </row>
    <row r="603" spans="1:10" x14ac:dyDescent="0.3">
      <c r="A603" s="26" t="s">
        <v>828</v>
      </c>
      <c r="B603" s="8" t="s">
        <v>1356</v>
      </c>
      <c r="C603" s="8" t="s">
        <v>1367</v>
      </c>
      <c r="D603" s="6">
        <v>5060090373151</v>
      </c>
      <c r="E603" s="9" t="s">
        <v>1368</v>
      </c>
      <c r="F603" s="9" t="s">
        <v>1359</v>
      </c>
      <c r="G603" s="31" t="s">
        <v>92</v>
      </c>
      <c r="I603" s="2" t="str">
        <f>VLOOKUP(C603,[1]Sheet1!$C:$G,5,FALSE)</f>
        <v>POA</v>
      </c>
      <c r="J603" s="33"/>
    </row>
    <row r="604" spans="1:10" x14ac:dyDescent="0.3">
      <c r="A604" s="26" t="s">
        <v>828</v>
      </c>
      <c r="B604" s="8" t="s">
        <v>1356</v>
      </c>
      <c r="C604" s="8" t="s">
        <v>1369</v>
      </c>
      <c r="D604" s="6">
        <v>5056003702361</v>
      </c>
      <c r="E604" s="9" t="s">
        <v>1370</v>
      </c>
      <c r="F604" s="9" t="s">
        <v>1359</v>
      </c>
      <c r="G604" s="31" t="s">
        <v>92</v>
      </c>
      <c r="I604" s="2" t="str">
        <f>VLOOKUP(C604,[1]Sheet1!$C:$G,5,FALSE)</f>
        <v>POA</v>
      </c>
      <c r="J604" s="33"/>
    </row>
    <row r="605" spans="1:10" x14ac:dyDescent="0.3">
      <c r="A605" s="26" t="s">
        <v>828</v>
      </c>
      <c r="B605" s="8" t="s">
        <v>1356</v>
      </c>
      <c r="C605" s="8" t="s">
        <v>1371</v>
      </c>
      <c r="D605" s="6">
        <v>5056003705089</v>
      </c>
      <c r="E605" s="9" t="s">
        <v>1204</v>
      </c>
      <c r="F605" s="9" t="s">
        <v>1359</v>
      </c>
      <c r="G605" s="31" t="s">
        <v>92</v>
      </c>
      <c r="I605" s="2" t="str">
        <f>VLOOKUP(C605,[1]Sheet1!$C:$G,5,FALSE)</f>
        <v>POA</v>
      </c>
      <c r="J605" s="33"/>
    </row>
    <row r="606" spans="1:10" x14ac:dyDescent="0.3">
      <c r="A606" s="26" t="s">
        <v>828</v>
      </c>
      <c r="B606" s="8" t="s">
        <v>1356</v>
      </c>
      <c r="C606" s="8" t="s">
        <v>1372</v>
      </c>
      <c r="D606" s="6">
        <v>5056003702378</v>
      </c>
      <c r="E606" s="9" t="s">
        <v>1373</v>
      </c>
      <c r="F606" s="9" t="s">
        <v>1359</v>
      </c>
      <c r="G606" s="31" t="s">
        <v>92</v>
      </c>
      <c r="I606" s="2" t="str">
        <f>VLOOKUP(C606,[1]Sheet1!$C:$G,5,FALSE)</f>
        <v>POA</v>
      </c>
      <c r="J606" s="33"/>
    </row>
    <row r="607" spans="1:10" x14ac:dyDescent="0.3">
      <c r="A607" s="26" t="s">
        <v>828</v>
      </c>
      <c r="B607" s="8" t="s">
        <v>1356</v>
      </c>
      <c r="C607" s="8" t="s">
        <v>1374</v>
      </c>
      <c r="D607" s="6">
        <v>5056003702200</v>
      </c>
      <c r="E607" s="9" t="s">
        <v>1048</v>
      </c>
      <c r="F607" s="9" t="s">
        <v>1359</v>
      </c>
      <c r="G607" s="31" t="s">
        <v>92</v>
      </c>
      <c r="I607" s="2" t="str">
        <f>VLOOKUP(C607,[1]Sheet1!$C:$G,5,FALSE)</f>
        <v>POA</v>
      </c>
      <c r="J607" s="33"/>
    </row>
    <row r="608" spans="1:10" x14ac:dyDescent="0.3">
      <c r="A608" s="26" t="s">
        <v>828</v>
      </c>
      <c r="B608" s="8" t="s">
        <v>1356</v>
      </c>
      <c r="C608" s="8" t="s">
        <v>1375</v>
      </c>
      <c r="D608" s="6">
        <v>5056003702293</v>
      </c>
      <c r="E608" s="9" t="s">
        <v>1376</v>
      </c>
      <c r="F608" s="9" t="s">
        <v>1359</v>
      </c>
      <c r="G608" s="31" t="s">
        <v>92</v>
      </c>
      <c r="I608" s="2" t="str">
        <f>VLOOKUP(C608,[1]Sheet1!$C:$G,5,FALSE)</f>
        <v>POA</v>
      </c>
      <c r="J608" s="33"/>
    </row>
    <row r="609" spans="1:10" x14ac:dyDescent="0.3">
      <c r="A609" s="26" t="s">
        <v>828</v>
      </c>
      <c r="B609" s="8" t="s">
        <v>1356</v>
      </c>
      <c r="C609" s="8" t="s">
        <v>1377</v>
      </c>
      <c r="D609" s="6">
        <v>5056003702224</v>
      </c>
      <c r="E609" s="9" t="s">
        <v>1378</v>
      </c>
      <c r="F609" s="9" t="s">
        <v>1359</v>
      </c>
      <c r="G609" s="31" t="s">
        <v>92</v>
      </c>
      <c r="I609" s="2" t="str">
        <f>VLOOKUP(C609,[1]Sheet1!$C:$G,5,FALSE)</f>
        <v>POA</v>
      </c>
      <c r="J609" s="33"/>
    </row>
    <row r="610" spans="1:10" x14ac:dyDescent="0.3">
      <c r="A610" s="26" t="s">
        <v>828</v>
      </c>
      <c r="B610" s="8" t="s">
        <v>1356</v>
      </c>
      <c r="C610" s="8" t="s">
        <v>1379</v>
      </c>
      <c r="D610" s="6">
        <v>5056003702231</v>
      </c>
      <c r="E610" s="9" t="s">
        <v>1380</v>
      </c>
      <c r="F610" s="9" t="s">
        <v>1359</v>
      </c>
      <c r="G610" s="31" t="s">
        <v>92</v>
      </c>
      <c r="I610" s="2" t="str">
        <f>VLOOKUP(C610,[1]Sheet1!$C:$G,5,FALSE)</f>
        <v>POA</v>
      </c>
      <c r="J610" s="33"/>
    </row>
    <row r="611" spans="1:10" x14ac:dyDescent="0.3">
      <c r="A611" s="26" t="s">
        <v>828</v>
      </c>
      <c r="B611" s="8" t="s">
        <v>1356</v>
      </c>
      <c r="C611" s="8" t="s">
        <v>1381</v>
      </c>
      <c r="D611" s="6">
        <v>5056003702248</v>
      </c>
      <c r="E611" s="9" t="s">
        <v>1382</v>
      </c>
      <c r="F611" s="9" t="s">
        <v>1359</v>
      </c>
      <c r="G611" s="31" t="s">
        <v>92</v>
      </c>
      <c r="I611" s="2" t="str">
        <f>VLOOKUP(C611,[1]Sheet1!$C:$G,5,FALSE)</f>
        <v>POA</v>
      </c>
      <c r="J611" s="33"/>
    </row>
    <row r="612" spans="1:10" x14ac:dyDescent="0.3">
      <c r="A612" s="26" t="s">
        <v>828</v>
      </c>
      <c r="B612" s="8" t="s">
        <v>1356</v>
      </c>
      <c r="C612" s="8" t="s">
        <v>1383</v>
      </c>
      <c r="D612" s="6">
        <v>5056003702194</v>
      </c>
      <c r="E612" s="9" t="s">
        <v>1384</v>
      </c>
      <c r="F612" s="9" t="s">
        <v>1359</v>
      </c>
      <c r="G612" s="31" t="s">
        <v>92</v>
      </c>
      <c r="I612" s="2" t="str">
        <f>VLOOKUP(C612,[1]Sheet1!$C:$G,5,FALSE)</f>
        <v>POA</v>
      </c>
      <c r="J612" s="33"/>
    </row>
    <row r="613" spans="1:10" x14ac:dyDescent="0.3">
      <c r="A613" s="26" t="s">
        <v>828</v>
      </c>
      <c r="B613" s="8" t="s">
        <v>1356</v>
      </c>
      <c r="C613" s="8" t="s">
        <v>1385</v>
      </c>
      <c r="D613" s="6">
        <v>5056003702385</v>
      </c>
      <c r="E613" s="9" t="s">
        <v>1386</v>
      </c>
      <c r="F613" s="9" t="s">
        <v>1359</v>
      </c>
      <c r="G613" s="31" t="s">
        <v>92</v>
      </c>
      <c r="I613" s="2" t="str">
        <f>VLOOKUP(C613,[1]Sheet1!$C:$G,5,FALSE)</f>
        <v>POA</v>
      </c>
      <c r="J613" s="33"/>
    </row>
    <row r="614" spans="1:10" x14ac:dyDescent="0.3">
      <c r="A614" s="26" t="s">
        <v>828</v>
      </c>
      <c r="B614" s="8" t="s">
        <v>1356</v>
      </c>
      <c r="C614" s="8" t="s">
        <v>1387</v>
      </c>
      <c r="D614" s="6">
        <v>5056003702392</v>
      </c>
      <c r="E614" s="9" t="s">
        <v>1194</v>
      </c>
      <c r="F614" s="9" t="s">
        <v>1359</v>
      </c>
      <c r="G614" s="31" t="s">
        <v>92</v>
      </c>
      <c r="I614" s="2" t="str">
        <f>VLOOKUP(C614,[1]Sheet1!$C:$G,5,FALSE)</f>
        <v>POA</v>
      </c>
      <c r="J614" s="33"/>
    </row>
    <row r="615" spans="1:10" x14ac:dyDescent="0.3">
      <c r="A615" s="26" t="s">
        <v>828</v>
      </c>
      <c r="B615" s="8" t="s">
        <v>1356</v>
      </c>
      <c r="C615" s="8" t="s">
        <v>1388</v>
      </c>
      <c r="D615" s="6">
        <v>5056003702262</v>
      </c>
      <c r="E615" s="9" t="s">
        <v>1389</v>
      </c>
      <c r="F615" s="9" t="s">
        <v>1359</v>
      </c>
      <c r="G615" s="31" t="s">
        <v>92</v>
      </c>
      <c r="I615" s="2" t="str">
        <f>VLOOKUP(C615,[1]Sheet1!$C:$G,5,FALSE)</f>
        <v>POA</v>
      </c>
      <c r="J615" s="33"/>
    </row>
    <row r="616" spans="1:10" x14ac:dyDescent="0.3">
      <c r="A616" s="26" t="s">
        <v>828</v>
      </c>
      <c r="B616" s="8" t="s">
        <v>1356</v>
      </c>
      <c r="C616" s="8" t="s">
        <v>1390</v>
      </c>
      <c r="D616" s="6">
        <v>5056003702255</v>
      </c>
      <c r="E616" s="9" t="s">
        <v>1101</v>
      </c>
      <c r="F616" s="9" t="s">
        <v>1359</v>
      </c>
      <c r="G616" s="31" t="s">
        <v>92</v>
      </c>
      <c r="I616" s="2" t="str">
        <f>VLOOKUP(C616,[1]Sheet1!$C:$G,5,FALSE)</f>
        <v>POA</v>
      </c>
      <c r="J616" s="33"/>
    </row>
    <row r="617" spans="1:10" x14ac:dyDescent="0.3">
      <c r="A617" s="26" t="s">
        <v>828</v>
      </c>
      <c r="B617" s="8" t="s">
        <v>1356</v>
      </c>
      <c r="C617" s="8" t="s">
        <v>1391</v>
      </c>
      <c r="D617" s="6">
        <v>5056003702217</v>
      </c>
      <c r="E617" s="9" t="s">
        <v>1392</v>
      </c>
      <c r="F617" s="9" t="s">
        <v>1359</v>
      </c>
      <c r="G617" s="31" t="s">
        <v>92</v>
      </c>
      <c r="I617" s="2" t="str">
        <f>VLOOKUP(C617,[1]Sheet1!$C:$G,5,FALSE)</f>
        <v>POA</v>
      </c>
      <c r="J617" s="33"/>
    </row>
    <row r="618" spans="1:10" x14ac:dyDescent="0.3">
      <c r="A618" s="26" t="s">
        <v>828</v>
      </c>
      <c r="B618" s="8" t="s">
        <v>1356</v>
      </c>
      <c r="C618" s="8" t="s">
        <v>1393</v>
      </c>
      <c r="D618" s="6">
        <v>5056003702415</v>
      </c>
      <c r="E618" s="9" t="s">
        <v>1037</v>
      </c>
      <c r="F618" s="9" t="s">
        <v>1359</v>
      </c>
      <c r="G618" s="31" t="s">
        <v>92</v>
      </c>
      <c r="I618" s="2" t="str">
        <f>VLOOKUP(C618,[1]Sheet1!$C:$G,5,FALSE)</f>
        <v>POA</v>
      </c>
      <c r="J618" s="33"/>
    </row>
    <row r="619" spans="1:10" x14ac:dyDescent="0.3">
      <c r="A619" s="26" t="s">
        <v>828</v>
      </c>
      <c r="B619" s="8" t="s">
        <v>1356</v>
      </c>
      <c r="C619" s="8" t="s">
        <v>1394</v>
      </c>
      <c r="D619" s="6">
        <v>5056003702323</v>
      </c>
      <c r="E619" s="9" t="s">
        <v>1395</v>
      </c>
      <c r="F619" s="9" t="s">
        <v>1359</v>
      </c>
      <c r="G619" s="31" t="s">
        <v>92</v>
      </c>
      <c r="I619" s="2" t="str">
        <f>VLOOKUP(C619,[1]Sheet1!$C:$G,5,FALSE)</f>
        <v>POA</v>
      </c>
      <c r="J619" s="33"/>
    </row>
    <row r="620" spans="1:10" x14ac:dyDescent="0.3">
      <c r="A620" s="26" t="s">
        <v>828</v>
      </c>
      <c r="B620" s="8" t="s">
        <v>1356</v>
      </c>
      <c r="C620" s="8" t="s">
        <v>1396</v>
      </c>
      <c r="D620" s="6">
        <v>5056003702330</v>
      </c>
      <c r="E620" s="9" t="s">
        <v>1397</v>
      </c>
      <c r="F620" s="9" t="s">
        <v>1359</v>
      </c>
      <c r="G620" s="31" t="s">
        <v>92</v>
      </c>
      <c r="I620" s="2" t="str">
        <f>VLOOKUP(C620,[1]Sheet1!$C:$G,5,FALSE)</f>
        <v>POA</v>
      </c>
      <c r="J620" s="33"/>
    </row>
    <row r="621" spans="1:10" x14ac:dyDescent="0.3">
      <c r="A621" s="26" t="s">
        <v>828</v>
      </c>
      <c r="B621" s="8" t="s">
        <v>1356</v>
      </c>
      <c r="C621" s="8" t="s">
        <v>1398</v>
      </c>
      <c r="D621" s="6">
        <v>5056003702347</v>
      </c>
      <c r="E621" s="9" t="s">
        <v>1399</v>
      </c>
      <c r="F621" s="9" t="s">
        <v>1359</v>
      </c>
      <c r="G621" s="31" t="s">
        <v>92</v>
      </c>
      <c r="I621" s="2" t="str">
        <f>VLOOKUP(C621,[1]Sheet1!$C:$G,5,FALSE)</f>
        <v>POA</v>
      </c>
      <c r="J621" s="33"/>
    </row>
    <row r="622" spans="1:10" x14ac:dyDescent="0.3">
      <c r="A622" s="26" t="s">
        <v>828</v>
      </c>
      <c r="B622" s="8" t="s">
        <v>93</v>
      </c>
      <c r="C622" s="8" t="s">
        <v>1717</v>
      </c>
      <c r="D622" s="6">
        <v>5056003777796</v>
      </c>
      <c r="E622" s="9" t="s">
        <v>1718</v>
      </c>
      <c r="F622" s="9"/>
      <c r="G622" s="31">
        <v>241.27950000000001</v>
      </c>
      <c r="I622" s="2">
        <f>VLOOKUP(C622,[1]Sheet1!$C:$G,5,FALSE)</f>
        <v>229.79</v>
      </c>
      <c r="J622" s="33">
        <f t="shared" ref="J622:J673" si="10">(G622-I622)/I622</f>
        <v>5.0000000000000093E-2</v>
      </c>
    </row>
    <row r="623" spans="1:10" x14ac:dyDescent="0.3">
      <c r="A623" s="26" t="s">
        <v>828</v>
      </c>
      <c r="B623" s="8" t="s">
        <v>829</v>
      </c>
      <c r="C623" s="8" t="s">
        <v>886</v>
      </c>
      <c r="D623" s="6">
        <v>5056003701142</v>
      </c>
      <c r="E623" s="9" t="s">
        <v>887</v>
      </c>
      <c r="F623" s="9" t="s">
        <v>888</v>
      </c>
      <c r="G623" s="31">
        <v>38.650500000000001</v>
      </c>
      <c r="I623" s="2">
        <f>VLOOKUP(C623,[1]Sheet1!$C:$G,5,FALSE)</f>
        <v>36.81</v>
      </c>
      <c r="J623" s="33">
        <f t="shared" si="10"/>
        <v>4.9999999999999961E-2</v>
      </c>
    </row>
    <row r="624" spans="1:10" x14ac:dyDescent="0.3">
      <c r="A624" s="26" t="s">
        <v>828</v>
      </c>
      <c r="B624" s="8" t="s">
        <v>829</v>
      </c>
      <c r="C624" s="8" t="s">
        <v>889</v>
      </c>
      <c r="D624" s="6">
        <v>5056003701159</v>
      </c>
      <c r="E624" s="9" t="s">
        <v>887</v>
      </c>
      <c r="F624" s="9" t="s">
        <v>890</v>
      </c>
      <c r="G624" s="31">
        <v>41.517000000000003</v>
      </c>
      <c r="I624" s="2">
        <f>VLOOKUP(C624,[1]Sheet1!$C:$G,5,FALSE)</f>
        <v>39.54</v>
      </c>
      <c r="J624" s="33">
        <f t="shared" si="10"/>
        <v>5.00000000000001E-2</v>
      </c>
    </row>
    <row r="625" spans="1:10" x14ac:dyDescent="0.3">
      <c r="A625" s="26" t="s">
        <v>828</v>
      </c>
      <c r="B625" s="8" t="s">
        <v>1461</v>
      </c>
      <c r="C625" s="8" t="s">
        <v>1524</v>
      </c>
      <c r="D625" s="6">
        <v>5056003703238</v>
      </c>
      <c r="E625" s="9" t="s">
        <v>1525</v>
      </c>
      <c r="F625" s="9" t="s">
        <v>1526</v>
      </c>
      <c r="G625" s="31">
        <v>0.96570000000000011</v>
      </c>
      <c r="I625" s="2">
        <f>VLOOKUP(C625,[1]Sheet1!$C:$G,5,FALSE)</f>
        <v>0.87</v>
      </c>
      <c r="J625" s="33">
        <f t="shared" si="10"/>
        <v>0.11000000000000014</v>
      </c>
    </row>
    <row r="626" spans="1:10" x14ac:dyDescent="0.3">
      <c r="A626" s="26" t="s">
        <v>828</v>
      </c>
      <c r="B626" s="8" t="s">
        <v>1720</v>
      </c>
      <c r="C626" s="8" t="s">
        <v>1735</v>
      </c>
      <c r="D626" s="6">
        <v>5056003700435</v>
      </c>
      <c r="E626" s="9" t="s">
        <v>1736</v>
      </c>
      <c r="F626" s="9" t="s">
        <v>1737</v>
      </c>
      <c r="G626" s="31">
        <v>55.786500000000004</v>
      </c>
      <c r="I626" s="2">
        <f>VLOOKUP(C626,[1]Sheet1!$C:$G,5,FALSE)</f>
        <v>53.13</v>
      </c>
      <c r="J626" s="33">
        <f t="shared" si="10"/>
        <v>5.0000000000000017E-2</v>
      </c>
    </row>
    <row r="627" spans="1:10" x14ac:dyDescent="0.3">
      <c r="A627" s="26" t="s">
        <v>828</v>
      </c>
      <c r="B627" s="8" t="s">
        <v>1720</v>
      </c>
      <c r="C627" s="8" t="s">
        <v>1738</v>
      </c>
      <c r="D627" s="6">
        <v>5056003701289</v>
      </c>
      <c r="E627" s="9" t="s">
        <v>1739</v>
      </c>
      <c r="F627" s="9" t="s">
        <v>1737</v>
      </c>
      <c r="G627" s="31">
        <v>55.786500000000004</v>
      </c>
      <c r="I627" s="2">
        <f>VLOOKUP(C627,[1]Sheet1!$C:$G,5,FALSE)</f>
        <v>53.13</v>
      </c>
      <c r="J627" s="33">
        <f t="shared" si="10"/>
        <v>5.0000000000000017E-2</v>
      </c>
    </row>
    <row r="628" spans="1:10" x14ac:dyDescent="0.3">
      <c r="A628" s="26" t="s">
        <v>828</v>
      </c>
      <c r="B628" s="8" t="s">
        <v>1533</v>
      </c>
      <c r="C628" s="8" t="s">
        <v>1548</v>
      </c>
      <c r="D628" s="6">
        <v>5056003772517</v>
      </c>
      <c r="E628" s="9" t="s">
        <v>1549</v>
      </c>
      <c r="F628" s="9"/>
      <c r="G628" s="31">
        <v>85.879500000000007</v>
      </c>
      <c r="I628" s="2">
        <f>VLOOKUP(C628,[1]Sheet1!$C:$G,5,FALSE)</f>
        <v>81.790000000000006</v>
      </c>
      <c r="J628" s="33">
        <f t="shared" si="10"/>
        <v>5.000000000000001E-2</v>
      </c>
    </row>
    <row r="629" spans="1:10" x14ac:dyDescent="0.3">
      <c r="A629" s="26" t="s">
        <v>828</v>
      </c>
      <c r="B629" s="8" t="s">
        <v>1533</v>
      </c>
      <c r="C629" s="8" t="s">
        <v>1570</v>
      </c>
      <c r="D629" s="6">
        <v>5056003774146</v>
      </c>
      <c r="E629" s="9" t="s">
        <v>1571</v>
      </c>
      <c r="F629" s="9"/>
      <c r="G629" s="31">
        <v>73.3005</v>
      </c>
      <c r="I629" s="2">
        <f>VLOOKUP(C629,[1]Sheet1!$C:$G,5,FALSE)</f>
        <v>69.81</v>
      </c>
      <c r="J629" s="33">
        <f t="shared" si="10"/>
        <v>4.9999999999999961E-2</v>
      </c>
    </row>
    <row r="630" spans="1:10" x14ac:dyDescent="0.3">
      <c r="A630" s="26" t="s">
        <v>828</v>
      </c>
      <c r="B630" s="8" t="s">
        <v>1533</v>
      </c>
      <c r="C630" s="8" t="s">
        <v>1578</v>
      </c>
      <c r="D630" s="6" t="s">
        <v>1579</v>
      </c>
      <c r="E630" s="9" t="s">
        <v>1580</v>
      </c>
      <c r="F630" s="9"/>
      <c r="G630" s="31">
        <v>135.8175</v>
      </c>
      <c r="I630" s="2">
        <f>VLOOKUP(C630,[1]Sheet1!$C:$G,5,FALSE)</f>
        <v>129.35</v>
      </c>
      <c r="J630" s="33">
        <f t="shared" si="10"/>
        <v>5.000000000000001E-2</v>
      </c>
    </row>
    <row r="631" spans="1:10" x14ac:dyDescent="0.3">
      <c r="A631" s="26" t="s">
        <v>828</v>
      </c>
      <c r="B631" s="8" t="s">
        <v>1533</v>
      </c>
      <c r="C631" s="8" t="s">
        <v>1575</v>
      </c>
      <c r="D631" s="6" t="s">
        <v>1576</v>
      </c>
      <c r="E631" s="9" t="s">
        <v>1577</v>
      </c>
      <c r="F631" s="9"/>
      <c r="G631" s="31">
        <v>136.59450000000001</v>
      </c>
      <c r="I631" s="2">
        <f>VLOOKUP(C631,[1]Sheet1!$C:$G,5,FALSE)</f>
        <v>130.09</v>
      </c>
      <c r="J631" s="33">
        <f t="shared" si="10"/>
        <v>5.0000000000000051E-2</v>
      </c>
    </row>
    <row r="632" spans="1:10" x14ac:dyDescent="0.3">
      <c r="A632" s="26" t="s">
        <v>828</v>
      </c>
      <c r="B632" s="8" t="s">
        <v>1533</v>
      </c>
      <c r="C632" s="8" t="s">
        <v>1572</v>
      </c>
      <c r="D632" s="6" t="s">
        <v>1573</v>
      </c>
      <c r="E632" s="9" t="s">
        <v>1574</v>
      </c>
      <c r="F632" s="9"/>
      <c r="G632" s="31">
        <v>144.76350000000002</v>
      </c>
      <c r="I632" s="2">
        <f>VLOOKUP(C632,[1]Sheet1!$C:$G,5,FALSE)</f>
        <v>137.87</v>
      </c>
      <c r="J632" s="33">
        <f t="shared" si="10"/>
        <v>5.0000000000000121E-2</v>
      </c>
    </row>
    <row r="633" spans="1:10" x14ac:dyDescent="0.3">
      <c r="A633" s="26" t="s">
        <v>828</v>
      </c>
      <c r="B633" s="8" t="s">
        <v>829</v>
      </c>
      <c r="C633" s="8" t="s">
        <v>891</v>
      </c>
      <c r="D633" s="6">
        <v>5056003700879</v>
      </c>
      <c r="E633" s="9" t="s">
        <v>847</v>
      </c>
      <c r="F633" s="9" t="s">
        <v>892</v>
      </c>
      <c r="G633" s="31">
        <v>157.73099999999999</v>
      </c>
      <c r="I633" s="2">
        <f>VLOOKUP(C633,[1]Sheet1!$C:$G,5,FALSE)</f>
        <v>150.22</v>
      </c>
      <c r="J633" s="33">
        <f t="shared" si="10"/>
        <v>4.9999999999999975E-2</v>
      </c>
    </row>
    <row r="634" spans="1:10" x14ac:dyDescent="0.3">
      <c r="A634" s="26" t="s">
        <v>828</v>
      </c>
      <c r="B634" s="8" t="s">
        <v>1784</v>
      </c>
      <c r="C634" s="8" t="s">
        <v>1832</v>
      </c>
      <c r="D634" s="6">
        <v>5056003700954</v>
      </c>
      <c r="E634" s="9" t="s">
        <v>1833</v>
      </c>
      <c r="F634" s="9" t="s">
        <v>1452</v>
      </c>
      <c r="G634" s="31">
        <v>49.423500000000004</v>
      </c>
      <c r="I634" s="2">
        <f>VLOOKUP(C634,[1]Sheet1!$C:$G,5,FALSE)</f>
        <v>47.07</v>
      </c>
      <c r="J634" s="33">
        <f t="shared" si="10"/>
        <v>5.0000000000000086E-2</v>
      </c>
    </row>
    <row r="635" spans="1:10" x14ac:dyDescent="0.3">
      <c r="A635" s="26" t="s">
        <v>828</v>
      </c>
      <c r="B635" s="8" t="s">
        <v>829</v>
      </c>
      <c r="C635" s="8" t="s">
        <v>893</v>
      </c>
      <c r="D635" s="6">
        <v>5056003704310</v>
      </c>
      <c r="E635" s="9" t="s">
        <v>894</v>
      </c>
      <c r="F635" s="9" t="s">
        <v>895</v>
      </c>
      <c r="G635" s="31">
        <v>21.409500000000001</v>
      </c>
      <c r="I635" s="2">
        <f>VLOOKUP(C635,[1]Sheet1!$C:$G,5,FALSE)</f>
        <v>20.39</v>
      </c>
      <c r="J635" s="33">
        <f t="shared" si="10"/>
        <v>5.0000000000000037E-2</v>
      </c>
    </row>
    <row r="636" spans="1:10" x14ac:dyDescent="0.3">
      <c r="A636" s="26" t="s">
        <v>828</v>
      </c>
      <c r="B636" s="8" t="s">
        <v>829</v>
      </c>
      <c r="C636" s="8" t="s">
        <v>896</v>
      </c>
      <c r="D636" s="6">
        <v>5056003704006</v>
      </c>
      <c r="E636" s="9" t="s">
        <v>834</v>
      </c>
      <c r="F636" s="9" t="s">
        <v>895</v>
      </c>
      <c r="G636" s="31" t="s">
        <v>92</v>
      </c>
      <c r="I636" s="2" t="str">
        <f>VLOOKUP(C636,[1]Sheet1!$C:$G,5,FALSE)</f>
        <v>POA</v>
      </c>
      <c r="J636" s="33"/>
    </row>
    <row r="637" spans="1:10" ht="26" x14ac:dyDescent="0.3">
      <c r="A637" s="26" t="s">
        <v>828</v>
      </c>
      <c r="B637" s="8" t="s">
        <v>829</v>
      </c>
      <c r="C637" s="8" t="s">
        <v>897</v>
      </c>
      <c r="D637" s="6">
        <v>5056003700909</v>
      </c>
      <c r="E637" s="9" t="s">
        <v>898</v>
      </c>
      <c r="F637" s="9" t="s">
        <v>899</v>
      </c>
      <c r="G637" s="31">
        <v>15.246</v>
      </c>
      <c r="I637" s="2">
        <f>VLOOKUP(C637,[1]Sheet1!$C:$G,5,FALSE)</f>
        <v>14.52</v>
      </c>
      <c r="J637" s="33">
        <f t="shared" si="10"/>
        <v>5.0000000000000058E-2</v>
      </c>
    </row>
    <row r="638" spans="1:10" x14ac:dyDescent="0.3">
      <c r="A638" s="26" t="s">
        <v>828</v>
      </c>
      <c r="B638" s="8" t="s">
        <v>1533</v>
      </c>
      <c r="C638" s="8" t="s">
        <v>1550</v>
      </c>
      <c r="D638" s="6">
        <v>5056003700831</v>
      </c>
      <c r="E638" s="9" t="s">
        <v>1551</v>
      </c>
      <c r="F638" s="9" t="s">
        <v>946</v>
      </c>
      <c r="G638" s="31">
        <v>89.386499999999998</v>
      </c>
      <c r="I638" s="2">
        <f>VLOOKUP(C638,[1]Sheet1!$C:$G,5,FALSE)</f>
        <v>85.13</v>
      </c>
      <c r="J638" s="33">
        <f t="shared" si="10"/>
        <v>5.0000000000000031E-2</v>
      </c>
    </row>
    <row r="639" spans="1:10" x14ac:dyDescent="0.3">
      <c r="A639" s="26" t="s">
        <v>828</v>
      </c>
      <c r="B639" s="8" t="s">
        <v>1606</v>
      </c>
      <c r="C639" s="8" t="s">
        <v>1612</v>
      </c>
      <c r="D639" s="6">
        <v>5056003700473</v>
      </c>
      <c r="E639" s="9" t="s">
        <v>1613</v>
      </c>
      <c r="F639" s="9" t="s">
        <v>1614</v>
      </c>
      <c r="G639" s="31">
        <v>55.786500000000004</v>
      </c>
      <c r="I639" s="2">
        <f>VLOOKUP(C639,[1]Sheet1!$C:$G,5,FALSE)</f>
        <v>53.13</v>
      </c>
      <c r="J639" s="33">
        <f t="shared" si="10"/>
        <v>5.0000000000000017E-2</v>
      </c>
    </row>
    <row r="640" spans="1:10" x14ac:dyDescent="0.3">
      <c r="A640" s="26" t="s">
        <v>828</v>
      </c>
      <c r="B640" s="8" t="s">
        <v>1606</v>
      </c>
      <c r="C640" s="8" t="s">
        <v>1615</v>
      </c>
      <c r="D640" s="6">
        <v>5056003700923</v>
      </c>
      <c r="E640" s="9" t="s">
        <v>1616</v>
      </c>
      <c r="F640" s="9" t="s">
        <v>1617</v>
      </c>
      <c r="G640" s="31">
        <v>57.204000000000001</v>
      </c>
      <c r="I640" s="2">
        <f>VLOOKUP(C640,[1]Sheet1!$C:$G,5,FALSE)</f>
        <v>54.48</v>
      </c>
      <c r="J640" s="33">
        <f t="shared" si="10"/>
        <v>5.0000000000000072E-2</v>
      </c>
    </row>
    <row r="641" spans="1:10" x14ac:dyDescent="0.3">
      <c r="A641" s="26" t="s">
        <v>828</v>
      </c>
      <c r="B641" s="8" t="s">
        <v>829</v>
      </c>
      <c r="C641" s="8" t="s">
        <v>900</v>
      </c>
      <c r="D641" s="6">
        <v>5056003700947</v>
      </c>
      <c r="E641" s="9" t="s">
        <v>852</v>
      </c>
      <c r="F641" s="9" t="s">
        <v>901</v>
      </c>
      <c r="G641" s="31">
        <v>108.318</v>
      </c>
      <c r="I641" s="2">
        <f>VLOOKUP(C641,[1]Sheet1!$C:$G,5,FALSE)</f>
        <v>103.16</v>
      </c>
      <c r="J641" s="33">
        <f t="shared" si="10"/>
        <v>5.0000000000000017E-2</v>
      </c>
    </row>
    <row r="642" spans="1:10" ht="26" x14ac:dyDescent="0.3">
      <c r="A642" s="26" t="s">
        <v>828</v>
      </c>
      <c r="B642" s="8" t="s">
        <v>1622</v>
      </c>
      <c r="C642" s="8" t="s">
        <v>1633</v>
      </c>
      <c r="D642" s="6">
        <v>5056003703047</v>
      </c>
      <c r="E642" s="9" t="s">
        <v>1634</v>
      </c>
      <c r="F642" s="9" t="s">
        <v>1635</v>
      </c>
      <c r="G642" s="31">
        <v>14.269500000000001</v>
      </c>
      <c r="I642" s="2">
        <f>VLOOKUP(C642,[1]Sheet1!$C:$G,5,FALSE)</f>
        <v>13.59</v>
      </c>
      <c r="J642" s="33">
        <f t="shared" si="10"/>
        <v>5.0000000000000065E-2</v>
      </c>
    </row>
    <row r="643" spans="1:10" x14ac:dyDescent="0.3">
      <c r="A643" s="26" t="s">
        <v>828</v>
      </c>
      <c r="B643" s="8" t="s">
        <v>1622</v>
      </c>
      <c r="C643" s="8" t="s">
        <v>1636</v>
      </c>
      <c r="D643" s="6">
        <v>5056003703054</v>
      </c>
      <c r="E643" s="9" t="s">
        <v>1634</v>
      </c>
      <c r="F643" s="9" t="s">
        <v>1637</v>
      </c>
      <c r="G643" s="31">
        <v>17.115000000000002</v>
      </c>
      <c r="I643" s="2">
        <f>VLOOKUP(C643,[1]Sheet1!$C:$G,5,FALSE)</f>
        <v>16.3</v>
      </c>
      <c r="J643" s="33">
        <f t="shared" si="10"/>
        <v>5.0000000000000079E-2</v>
      </c>
    </row>
    <row r="644" spans="1:10" ht="26" x14ac:dyDescent="0.3">
      <c r="A644" s="26" t="s">
        <v>828</v>
      </c>
      <c r="B644" s="8" t="s">
        <v>1622</v>
      </c>
      <c r="C644" s="8" t="s">
        <v>1638</v>
      </c>
      <c r="D644" s="6">
        <v>5056003703061</v>
      </c>
      <c r="E644" s="9" t="s">
        <v>1634</v>
      </c>
      <c r="F644" s="9" t="s">
        <v>1639</v>
      </c>
      <c r="G644" s="31">
        <v>14.269500000000001</v>
      </c>
      <c r="I644" s="2">
        <f>VLOOKUP(C644,[1]Sheet1!$C:$G,5,FALSE)</f>
        <v>13.59</v>
      </c>
      <c r="J644" s="33">
        <f t="shared" si="10"/>
        <v>5.0000000000000065E-2</v>
      </c>
    </row>
    <row r="645" spans="1:10" x14ac:dyDescent="0.3">
      <c r="A645" s="26" t="s">
        <v>828</v>
      </c>
      <c r="B645" s="8" t="s">
        <v>829</v>
      </c>
      <c r="C645" s="8" t="s">
        <v>902</v>
      </c>
      <c r="D645" s="6">
        <v>5056003700930</v>
      </c>
      <c r="E645" s="9" t="s">
        <v>852</v>
      </c>
      <c r="F645" s="9" t="s">
        <v>892</v>
      </c>
      <c r="G645" s="31">
        <v>93.912000000000006</v>
      </c>
      <c r="I645" s="2">
        <f>VLOOKUP(C645,[1]Sheet1!$C:$G,5,FALSE)</f>
        <v>89.44</v>
      </c>
      <c r="J645" s="33">
        <f t="shared" si="10"/>
        <v>5.0000000000000093E-2</v>
      </c>
    </row>
    <row r="646" spans="1:10" x14ac:dyDescent="0.3">
      <c r="A646" s="26" t="s">
        <v>828</v>
      </c>
      <c r="B646" s="8" t="s">
        <v>1622</v>
      </c>
      <c r="C646" s="8" t="s">
        <v>1640</v>
      </c>
      <c r="D646" s="6">
        <v>5056003703078</v>
      </c>
      <c r="E646" s="9" t="s">
        <v>1634</v>
      </c>
      <c r="F646" s="9" t="s">
        <v>1641</v>
      </c>
      <c r="G646" s="31">
        <v>14.269500000000001</v>
      </c>
      <c r="I646" s="2">
        <f>VLOOKUP(C646,[1]Sheet1!$C:$G,5,FALSE)</f>
        <v>13.59</v>
      </c>
      <c r="J646" s="33">
        <f t="shared" si="10"/>
        <v>5.0000000000000065E-2</v>
      </c>
    </row>
    <row r="647" spans="1:10" x14ac:dyDescent="0.3">
      <c r="A647" s="26" t="s">
        <v>828</v>
      </c>
      <c r="B647" s="8" t="s">
        <v>829</v>
      </c>
      <c r="C647" s="8" t="s">
        <v>903</v>
      </c>
      <c r="D647" s="6">
        <v>5056003703085</v>
      </c>
      <c r="E647" s="9" t="s">
        <v>904</v>
      </c>
      <c r="F647" s="9" t="s">
        <v>905</v>
      </c>
      <c r="G647" s="31">
        <v>42.9345</v>
      </c>
      <c r="I647" s="2">
        <f>VLOOKUP(C647,[1]Sheet1!$C:$G,5,FALSE)</f>
        <v>40.89</v>
      </c>
      <c r="J647" s="33">
        <f t="shared" si="10"/>
        <v>4.9999999999999982E-2</v>
      </c>
    </row>
    <row r="648" spans="1:10" x14ac:dyDescent="0.3">
      <c r="A648" s="26" t="s">
        <v>828</v>
      </c>
      <c r="B648" s="8" t="s">
        <v>1533</v>
      </c>
      <c r="C648" s="8" t="s">
        <v>1552</v>
      </c>
      <c r="D648" s="6">
        <v>5056003707830</v>
      </c>
      <c r="E648" s="9" t="s">
        <v>822</v>
      </c>
      <c r="F648" s="9" t="s">
        <v>1553</v>
      </c>
      <c r="G648" s="31">
        <v>131.5335</v>
      </c>
      <c r="I648" s="2">
        <f>VLOOKUP(C648,[1]Sheet1!$C:$G,5,FALSE)</f>
        <v>125.27</v>
      </c>
      <c r="J648" s="33">
        <f t="shared" si="10"/>
        <v>5.0000000000000065E-2</v>
      </c>
    </row>
    <row r="649" spans="1:10" x14ac:dyDescent="0.3">
      <c r="A649" s="26" t="s">
        <v>828</v>
      </c>
      <c r="B649" s="8" t="s">
        <v>1622</v>
      </c>
      <c r="C649" s="8" t="s">
        <v>1642</v>
      </c>
      <c r="D649" s="6">
        <v>5056003707595</v>
      </c>
      <c r="E649" s="9" t="s">
        <v>1627</v>
      </c>
      <c r="F649" s="9" t="s">
        <v>1541</v>
      </c>
      <c r="G649" s="31">
        <v>26.470500000000001</v>
      </c>
      <c r="I649" s="2">
        <f>VLOOKUP(C649,[1]Sheet1!$C:$G,5,FALSE)</f>
        <v>25.21</v>
      </c>
      <c r="J649" s="33">
        <f t="shared" si="10"/>
        <v>5.0000000000000017E-2</v>
      </c>
    </row>
    <row r="650" spans="1:10" x14ac:dyDescent="0.3">
      <c r="A650" s="26" t="s">
        <v>828</v>
      </c>
      <c r="B650" s="8" t="s">
        <v>1449</v>
      </c>
      <c r="C650" s="8" t="s">
        <v>1450</v>
      </c>
      <c r="D650" s="6">
        <v>5056003707861</v>
      </c>
      <c r="E650" s="9" t="s">
        <v>1451</v>
      </c>
      <c r="F650" s="9" t="s">
        <v>1452</v>
      </c>
      <c r="G650" s="31">
        <v>40.088999999999999</v>
      </c>
      <c r="I650" s="2">
        <f>VLOOKUP(C650,[1]Sheet1!$C:$G,5,FALSE)</f>
        <v>38.18</v>
      </c>
      <c r="J650" s="33">
        <f t="shared" si="10"/>
        <v>4.9999999999999975E-2</v>
      </c>
    </row>
    <row r="651" spans="1:10" x14ac:dyDescent="0.3">
      <c r="A651" s="26" t="s">
        <v>828</v>
      </c>
      <c r="B651" s="8" t="s">
        <v>1449</v>
      </c>
      <c r="C651" s="8" t="s">
        <v>1453</v>
      </c>
      <c r="D651" s="6">
        <v>5056003707878</v>
      </c>
      <c r="E651" s="9" t="s">
        <v>1454</v>
      </c>
      <c r="F651" s="9" t="s">
        <v>1452</v>
      </c>
      <c r="G651" s="31">
        <v>35.805</v>
      </c>
      <c r="I651" s="2">
        <f>VLOOKUP(C651,[1]Sheet1!$C:$G,5,FALSE)</f>
        <v>34.1</v>
      </c>
      <c r="J651" s="33">
        <f t="shared" si="10"/>
        <v>4.9999999999999947E-2</v>
      </c>
    </row>
    <row r="652" spans="1:10" x14ac:dyDescent="0.3">
      <c r="A652" s="26" t="s">
        <v>828</v>
      </c>
      <c r="B652" s="8" t="s">
        <v>1449</v>
      </c>
      <c r="C652" s="8" t="s">
        <v>1457</v>
      </c>
      <c r="D652" s="6">
        <v>5056003777222</v>
      </c>
      <c r="E652" s="9" t="s">
        <v>1458</v>
      </c>
      <c r="F652" s="9" t="s">
        <v>1452</v>
      </c>
      <c r="G652" s="31">
        <v>283.185</v>
      </c>
      <c r="I652" s="2">
        <f>VLOOKUP(C652,[1]Sheet1!$C:$G,5,FALSE)</f>
        <v>269.7</v>
      </c>
      <c r="J652" s="33">
        <f t="shared" si="10"/>
        <v>5.0000000000000051E-2</v>
      </c>
    </row>
    <row r="653" spans="1:10" x14ac:dyDescent="0.3">
      <c r="A653" s="26" t="s">
        <v>828</v>
      </c>
      <c r="B653" s="8" t="s">
        <v>1449</v>
      </c>
      <c r="C653" s="8" t="s">
        <v>1455</v>
      </c>
      <c r="D653" s="6">
        <v>5056003777215</v>
      </c>
      <c r="E653" s="9" t="s">
        <v>1456</v>
      </c>
      <c r="F653" s="9" t="s">
        <v>1452</v>
      </c>
      <c r="G653" s="31">
        <v>283.185</v>
      </c>
      <c r="I653" s="2">
        <f>VLOOKUP(C653,[1]Sheet1!$C:$G,5,FALSE)</f>
        <v>269.7</v>
      </c>
      <c r="J653" s="33">
        <f t="shared" si="10"/>
        <v>5.0000000000000051E-2</v>
      </c>
    </row>
    <row r="654" spans="1:10" x14ac:dyDescent="0.3">
      <c r="A654" s="26" t="s">
        <v>828</v>
      </c>
      <c r="B654" s="8" t="s">
        <v>1622</v>
      </c>
      <c r="C654" s="8" t="s">
        <v>1643</v>
      </c>
      <c r="D654" s="6">
        <v>5056003703887</v>
      </c>
      <c r="E654" s="9" t="s">
        <v>1634</v>
      </c>
      <c r="F654" s="9" t="s">
        <v>1644</v>
      </c>
      <c r="G654" s="31">
        <v>17.115000000000002</v>
      </c>
      <c r="I654" s="2">
        <f>VLOOKUP(C654,[1]Sheet1!$C:$G,5,FALSE)</f>
        <v>16.3</v>
      </c>
      <c r="J654" s="33">
        <f t="shared" si="10"/>
        <v>5.0000000000000079E-2</v>
      </c>
    </row>
    <row r="655" spans="1:10" x14ac:dyDescent="0.3">
      <c r="A655" s="26" t="s">
        <v>828</v>
      </c>
      <c r="B655" s="8" t="s">
        <v>1606</v>
      </c>
      <c r="C655" s="8" t="s">
        <v>1618</v>
      </c>
      <c r="D655" s="6">
        <v>5056003703450</v>
      </c>
      <c r="E655" s="9" t="s">
        <v>1619</v>
      </c>
      <c r="F655" s="9" t="s">
        <v>1620</v>
      </c>
      <c r="G655" s="31">
        <v>82.645499999999998</v>
      </c>
      <c r="I655" s="2">
        <f>VLOOKUP(C655,[1]Sheet1!$C:$G,5,FALSE)</f>
        <v>78.709999999999994</v>
      </c>
      <c r="J655" s="33">
        <f t="shared" si="10"/>
        <v>5.0000000000000065E-2</v>
      </c>
    </row>
    <row r="656" spans="1:10" x14ac:dyDescent="0.3">
      <c r="A656" s="26" t="s">
        <v>828</v>
      </c>
      <c r="B656" s="8" t="s">
        <v>1461</v>
      </c>
      <c r="C656" s="8" t="s">
        <v>1527</v>
      </c>
      <c r="D656" s="6">
        <v>5056003708172</v>
      </c>
      <c r="E656" s="9" t="s">
        <v>1528</v>
      </c>
      <c r="F656" s="9" t="s">
        <v>1529</v>
      </c>
      <c r="G656" s="31">
        <v>0.91349999999999998</v>
      </c>
      <c r="I656" s="2">
        <f>VLOOKUP(C656,[1]Sheet1!$C:$G,5,FALSE)</f>
        <v>0.87</v>
      </c>
      <c r="J656" s="33">
        <f t="shared" si="10"/>
        <v>4.9999999999999982E-2</v>
      </c>
    </row>
    <row r="657" spans="1:10" x14ac:dyDescent="0.3">
      <c r="A657" s="26" t="s">
        <v>828</v>
      </c>
      <c r="B657" s="8" t="s">
        <v>1461</v>
      </c>
      <c r="C657" s="8" t="s">
        <v>1530</v>
      </c>
      <c r="D657" s="6">
        <v>5056003708189</v>
      </c>
      <c r="E657" s="9" t="s">
        <v>1531</v>
      </c>
      <c r="F657" s="9" t="s">
        <v>1532</v>
      </c>
      <c r="G657" s="31">
        <v>0.91349999999999998</v>
      </c>
      <c r="I657" s="2">
        <f>VLOOKUP(C657,[1]Sheet1!$C:$G,5,FALSE)</f>
        <v>0.87</v>
      </c>
      <c r="J657" s="33">
        <f t="shared" si="10"/>
        <v>4.9999999999999982E-2</v>
      </c>
    </row>
    <row r="658" spans="1:10" x14ac:dyDescent="0.3">
      <c r="A658" s="26" t="s">
        <v>828</v>
      </c>
      <c r="B658" s="8" t="s">
        <v>829</v>
      </c>
      <c r="C658" s="8" t="s">
        <v>906</v>
      </c>
      <c r="D658" s="6">
        <v>5056003708301</v>
      </c>
      <c r="E658" s="9" t="s">
        <v>847</v>
      </c>
      <c r="F658" s="9" t="s">
        <v>2225</v>
      </c>
      <c r="G658" s="31">
        <v>185.892</v>
      </c>
      <c r="I658" s="2">
        <f>VLOOKUP(C658,[1]Sheet1!$C:$G,5,FALSE)</f>
        <v>177.04</v>
      </c>
      <c r="J658" s="33">
        <f t="shared" si="10"/>
        <v>5.0000000000000024E-2</v>
      </c>
    </row>
    <row r="659" spans="1:10" x14ac:dyDescent="0.3">
      <c r="A659" s="26" t="s">
        <v>828</v>
      </c>
      <c r="B659" s="8" t="s">
        <v>1720</v>
      </c>
      <c r="C659" s="25" t="s">
        <v>1740</v>
      </c>
      <c r="D659" s="6">
        <v>5056003731347</v>
      </c>
      <c r="E659" s="12" t="s">
        <v>1741</v>
      </c>
      <c r="F659" s="12" t="s">
        <v>1452</v>
      </c>
      <c r="G659" s="31">
        <v>77.836500000000001</v>
      </c>
      <c r="I659" s="2">
        <f>VLOOKUP(C659,[1]Sheet1!$C:$G,5,FALSE)</f>
        <v>74.13</v>
      </c>
      <c r="J659" s="33">
        <f t="shared" si="10"/>
        <v>5.0000000000000079E-2</v>
      </c>
    </row>
    <row r="660" spans="1:10" x14ac:dyDescent="0.3">
      <c r="A660" s="26" t="s">
        <v>828</v>
      </c>
      <c r="B660" s="8" t="s">
        <v>1720</v>
      </c>
      <c r="C660" s="25" t="s">
        <v>1742</v>
      </c>
      <c r="D660" s="6">
        <v>5056003731354</v>
      </c>
      <c r="E660" s="12" t="s">
        <v>1889</v>
      </c>
      <c r="F660" s="12" t="s">
        <v>1452</v>
      </c>
      <c r="G660" s="31">
        <v>55.786500000000004</v>
      </c>
      <c r="I660" s="2">
        <f>VLOOKUP(C660,[1]Sheet1!$C:$G,5,FALSE)</f>
        <v>53.13</v>
      </c>
      <c r="J660" s="33">
        <f t="shared" si="10"/>
        <v>5.0000000000000017E-2</v>
      </c>
    </row>
    <row r="661" spans="1:10" x14ac:dyDescent="0.3">
      <c r="A661" s="26" t="s">
        <v>828</v>
      </c>
      <c r="B661" s="8" t="s">
        <v>1720</v>
      </c>
      <c r="C661" s="25" t="s">
        <v>1743</v>
      </c>
      <c r="D661" s="6">
        <v>5056003731361</v>
      </c>
      <c r="E661" s="12" t="s">
        <v>1890</v>
      </c>
      <c r="F661" s="12" t="s">
        <v>1452</v>
      </c>
      <c r="G661" s="31">
        <v>55.786500000000004</v>
      </c>
      <c r="I661" s="2">
        <f>VLOOKUP(C661,[1]Sheet1!$C:$G,5,FALSE)</f>
        <v>53.13</v>
      </c>
      <c r="J661" s="33">
        <f t="shared" si="10"/>
        <v>5.0000000000000017E-2</v>
      </c>
    </row>
    <row r="662" spans="1:10" x14ac:dyDescent="0.3">
      <c r="A662" s="26" t="s">
        <v>828</v>
      </c>
      <c r="B662" s="8" t="s">
        <v>829</v>
      </c>
      <c r="C662" s="8" t="s">
        <v>907</v>
      </c>
      <c r="D662" s="6">
        <v>5056003700978</v>
      </c>
      <c r="E662" s="9" t="s">
        <v>887</v>
      </c>
      <c r="F662" s="9" t="s">
        <v>908</v>
      </c>
      <c r="G662" s="31">
        <v>34.902000000000001</v>
      </c>
      <c r="I662" s="2">
        <f>VLOOKUP(C662,[1]Sheet1!$C:$G,5,FALSE)</f>
        <v>33.24</v>
      </c>
      <c r="J662" s="33">
        <f t="shared" si="10"/>
        <v>4.9999999999999968E-2</v>
      </c>
    </row>
    <row r="663" spans="1:10" x14ac:dyDescent="0.3">
      <c r="A663" s="26" t="s">
        <v>828</v>
      </c>
      <c r="B663" s="8" t="s">
        <v>1449</v>
      </c>
      <c r="C663" s="8" t="s">
        <v>1459</v>
      </c>
      <c r="D663" s="6">
        <v>5056003777659</v>
      </c>
      <c r="E663" s="9" t="s">
        <v>1460</v>
      </c>
      <c r="F663" s="9" t="s">
        <v>1918</v>
      </c>
      <c r="G663" s="31">
        <v>243.0855</v>
      </c>
      <c r="I663" s="2">
        <f>VLOOKUP(C663,[1]Sheet1!$C:$G,5,FALSE)</f>
        <v>231.51</v>
      </c>
      <c r="J663" s="33">
        <f t="shared" si="10"/>
        <v>5.0000000000000024E-2</v>
      </c>
    </row>
    <row r="664" spans="1:10" x14ac:dyDescent="0.3">
      <c r="A664" s="26" t="s">
        <v>828</v>
      </c>
      <c r="B664" s="8" t="s">
        <v>829</v>
      </c>
      <c r="C664" s="8" t="s">
        <v>2234</v>
      </c>
      <c r="D664" s="6">
        <v>5056003781632</v>
      </c>
      <c r="E664" s="9" t="s">
        <v>887</v>
      </c>
      <c r="F664" s="9" t="s">
        <v>2235</v>
      </c>
      <c r="G664" s="31">
        <v>34.902000000000001</v>
      </c>
      <c r="I664" s="2">
        <f>VLOOKUP(C664,[1]Sheet1!$C:$G,5,FALSE)</f>
        <v>33.24</v>
      </c>
      <c r="J664" s="33">
        <f t="shared" si="10"/>
        <v>4.9999999999999968E-2</v>
      </c>
    </row>
    <row r="665" spans="1:10" x14ac:dyDescent="0.3">
      <c r="A665" s="26" t="s">
        <v>828</v>
      </c>
      <c r="B665" s="8" t="s">
        <v>829</v>
      </c>
      <c r="C665" s="8" t="s">
        <v>909</v>
      </c>
      <c r="D665" s="6">
        <v>5056003700985</v>
      </c>
      <c r="E665" s="9" t="s">
        <v>887</v>
      </c>
      <c r="F665" s="9" t="s">
        <v>910</v>
      </c>
      <c r="G665" s="31">
        <v>36.466499999999996</v>
      </c>
      <c r="I665" s="2">
        <f>VLOOKUP(C665,[1]Sheet1!$C:$G,5,FALSE)</f>
        <v>34.729999999999997</v>
      </c>
      <c r="J665" s="33">
        <f t="shared" si="10"/>
        <v>4.9999999999999989E-2</v>
      </c>
    </row>
    <row r="666" spans="1:10" x14ac:dyDescent="0.3">
      <c r="A666" s="26" t="s">
        <v>828</v>
      </c>
      <c r="B666" s="8" t="s">
        <v>93</v>
      </c>
      <c r="C666" s="8" t="s">
        <v>1713</v>
      </c>
      <c r="D666" s="6">
        <v>5056003700992</v>
      </c>
      <c r="E666" s="9" t="s">
        <v>1714</v>
      </c>
      <c r="F666" s="9" t="s">
        <v>101</v>
      </c>
      <c r="G666" s="31">
        <v>57.477000000000004</v>
      </c>
      <c r="I666" s="2">
        <f>VLOOKUP(C666,[1]Sheet1!$C:$G,5,FALSE)</f>
        <v>54.74</v>
      </c>
      <c r="J666" s="33">
        <f t="shared" si="10"/>
        <v>5.0000000000000031E-2</v>
      </c>
    </row>
    <row r="667" spans="1:10" x14ac:dyDescent="0.3">
      <c r="A667" s="26" t="s">
        <v>828</v>
      </c>
      <c r="B667" s="8" t="s">
        <v>93</v>
      </c>
      <c r="C667" s="8" t="s">
        <v>1715</v>
      </c>
      <c r="D667" s="6">
        <v>5056003700527</v>
      </c>
      <c r="E667" s="9" t="s">
        <v>1716</v>
      </c>
      <c r="F667" s="9" t="s">
        <v>1452</v>
      </c>
      <c r="G667" s="31">
        <v>26.974500000000003</v>
      </c>
      <c r="I667" s="2">
        <f>VLOOKUP(C667,[1]Sheet1!$C:$G,5,FALSE)</f>
        <v>25.69</v>
      </c>
      <c r="J667" s="33">
        <f t="shared" si="10"/>
        <v>5.0000000000000051E-2</v>
      </c>
    </row>
    <row r="668" spans="1:10" x14ac:dyDescent="0.3">
      <c r="A668" s="26" t="s">
        <v>828</v>
      </c>
      <c r="B668" s="8" t="s">
        <v>1622</v>
      </c>
      <c r="C668" s="8" t="s">
        <v>1645</v>
      </c>
      <c r="D668" s="6">
        <v>5056003701005</v>
      </c>
      <c r="E668" s="9" t="s">
        <v>1624</v>
      </c>
      <c r="F668" s="9" t="s">
        <v>1646</v>
      </c>
      <c r="G668" s="31">
        <v>64.344000000000008</v>
      </c>
      <c r="I668" s="2">
        <f>VLOOKUP(C668,[1]Sheet1!$C:$G,5,FALSE)</f>
        <v>61.28</v>
      </c>
      <c r="J668" s="33">
        <f t="shared" si="10"/>
        <v>5.0000000000000114E-2</v>
      </c>
    </row>
    <row r="669" spans="1:10" x14ac:dyDescent="0.3">
      <c r="A669" s="26" t="s">
        <v>828</v>
      </c>
      <c r="B669" s="8" t="s">
        <v>1622</v>
      </c>
      <c r="C669" s="8" t="s">
        <v>1647</v>
      </c>
      <c r="D669" s="6">
        <v>5056003708455</v>
      </c>
      <c r="E669" s="9" t="s">
        <v>1624</v>
      </c>
      <c r="F669" s="9" t="s">
        <v>1620</v>
      </c>
      <c r="G669" s="31">
        <v>81.983999999999995</v>
      </c>
      <c r="I669" s="2">
        <f>VLOOKUP(C669,[1]Sheet1!$C:$G,5,FALSE)</f>
        <v>78.08</v>
      </c>
      <c r="J669" s="33">
        <f t="shared" si="10"/>
        <v>4.9999999999999954E-2</v>
      </c>
    </row>
    <row r="670" spans="1:10" x14ac:dyDescent="0.3">
      <c r="A670" s="26" t="s">
        <v>828</v>
      </c>
      <c r="B670" s="8" t="s">
        <v>829</v>
      </c>
      <c r="C670" s="8" t="s">
        <v>911</v>
      </c>
      <c r="D670" s="6">
        <v>5056003705492</v>
      </c>
      <c r="E670" s="9" t="s">
        <v>847</v>
      </c>
      <c r="F670" s="9" t="s">
        <v>912</v>
      </c>
      <c r="G670" s="31">
        <v>192.24450000000002</v>
      </c>
      <c r="I670" s="2">
        <f>VLOOKUP(C670,[1]Sheet1!$C:$G,5,FALSE)</f>
        <v>183.09</v>
      </c>
      <c r="J670" s="33">
        <f t="shared" si="10"/>
        <v>5.0000000000000072E-2</v>
      </c>
    </row>
    <row r="671" spans="1:10" x14ac:dyDescent="0.3">
      <c r="A671" s="26" t="s">
        <v>828</v>
      </c>
      <c r="B671" s="8" t="s">
        <v>1533</v>
      </c>
      <c r="C671" s="8" t="s">
        <v>1554</v>
      </c>
      <c r="D671" s="6">
        <v>5056003700848</v>
      </c>
      <c r="E671" s="9" t="s">
        <v>1555</v>
      </c>
      <c r="F671" s="9" t="s">
        <v>947</v>
      </c>
      <c r="G671" s="31">
        <v>125.8215</v>
      </c>
      <c r="I671" s="2">
        <f>VLOOKUP(C671,[1]Sheet1!$C:$G,5,FALSE)</f>
        <v>119.83</v>
      </c>
      <c r="J671" s="33">
        <f t="shared" si="10"/>
        <v>5.0000000000000017E-2</v>
      </c>
    </row>
    <row r="672" spans="1:10" x14ac:dyDescent="0.3">
      <c r="A672" s="26" t="s">
        <v>828</v>
      </c>
      <c r="B672" s="8" t="s">
        <v>1784</v>
      </c>
      <c r="C672" s="8" t="s">
        <v>1834</v>
      </c>
      <c r="D672" s="6">
        <v>5056003706161</v>
      </c>
      <c r="E672" s="9" t="s">
        <v>1835</v>
      </c>
      <c r="F672" s="9" t="s">
        <v>1836</v>
      </c>
      <c r="G672" s="31">
        <v>28.6755</v>
      </c>
      <c r="I672" s="2">
        <f>VLOOKUP(C672,[1]Sheet1!$C:$G,5,FALSE)</f>
        <v>27.31</v>
      </c>
      <c r="J672" s="33">
        <f t="shared" si="10"/>
        <v>5.0000000000000031E-2</v>
      </c>
    </row>
    <row r="673" spans="1:10" x14ac:dyDescent="0.3">
      <c r="A673" s="26" t="s">
        <v>828</v>
      </c>
      <c r="B673" s="8" t="s">
        <v>1784</v>
      </c>
      <c r="C673" s="8" t="s">
        <v>1837</v>
      </c>
      <c r="D673" s="6">
        <v>5056003705881</v>
      </c>
      <c r="E673" s="9" t="s">
        <v>1838</v>
      </c>
      <c r="F673" s="9" t="s">
        <v>1839</v>
      </c>
      <c r="G673" s="31">
        <v>31.531500000000001</v>
      </c>
      <c r="I673" s="2">
        <f>VLOOKUP(C673,[1]Sheet1!$C:$G,5,FALSE)</f>
        <v>30.03</v>
      </c>
      <c r="J673" s="33">
        <f t="shared" si="10"/>
        <v>0.05</v>
      </c>
    </row>
    <row r="674" spans="1:10" x14ac:dyDescent="0.3">
      <c r="A674" s="26" t="s">
        <v>828</v>
      </c>
      <c r="B674" s="8" t="s">
        <v>829</v>
      </c>
      <c r="C674" s="8" t="s">
        <v>1893</v>
      </c>
      <c r="D674" s="6">
        <v>5056003734744</v>
      </c>
      <c r="E674" s="9" t="s">
        <v>1891</v>
      </c>
      <c r="F674" s="9" t="s">
        <v>1892</v>
      </c>
      <c r="G674" s="31" t="s">
        <v>92</v>
      </c>
      <c r="I674" s="2" t="str">
        <f>VLOOKUP(C674,[1]Sheet1!$C:$G,5,FALSE)</f>
        <v>POA</v>
      </c>
      <c r="J674" s="33"/>
    </row>
    <row r="675" spans="1:10" x14ac:dyDescent="0.3">
      <c r="A675" s="26" t="s">
        <v>828</v>
      </c>
      <c r="B675" s="8" t="s">
        <v>829</v>
      </c>
      <c r="C675" s="8" t="s">
        <v>913</v>
      </c>
      <c r="D675" s="6">
        <v>5056003700855</v>
      </c>
      <c r="E675" s="9" t="s">
        <v>834</v>
      </c>
      <c r="F675" s="9" t="s">
        <v>914</v>
      </c>
      <c r="G675" s="31" t="s">
        <v>92</v>
      </c>
      <c r="I675" s="2" t="str">
        <f>VLOOKUP(C675,[1]Sheet1!$C:$G,5,FALSE)</f>
        <v>POA</v>
      </c>
      <c r="J675" s="33"/>
    </row>
    <row r="676" spans="1:10" x14ac:dyDescent="0.3">
      <c r="A676" s="26" t="s">
        <v>828</v>
      </c>
      <c r="B676" s="8" t="s">
        <v>829</v>
      </c>
      <c r="C676" s="8" t="s">
        <v>915</v>
      </c>
      <c r="D676" s="6">
        <v>5056003704655</v>
      </c>
      <c r="E676" s="9" t="s">
        <v>834</v>
      </c>
      <c r="F676" s="9" t="s">
        <v>916</v>
      </c>
      <c r="G676" s="31" t="s">
        <v>92</v>
      </c>
      <c r="I676" s="2" t="str">
        <f>VLOOKUP(C676,[1]Sheet1!$C:$G,5,FALSE)</f>
        <v>POA</v>
      </c>
      <c r="J676" s="33"/>
    </row>
    <row r="677" spans="1:10" x14ac:dyDescent="0.3">
      <c r="A677" s="26" t="s">
        <v>828</v>
      </c>
      <c r="B677" s="8" t="s">
        <v>829</v>
      </c>
      <c r="C677" s="8" t="s">
        <v>917</v>
      </c>
      <c r="D677" s="6">
        <v>5056003707847</v>
      </c>
      <c r="E677" s="9" t="s">
        <v>918</v>
      </c>
      <c r="F677" s="9" t="s">
        <v>919</v>
      </c>
      <c r="G677" s="31" t="s">
        <v>92</v>
      </c>
      <c r="I677" s="2" t="str">
        <f>VLOOKUP(C677,[1]Sheet1!$C:$G,5,FALSE)</f>
        <v>POA</v>
      </c>
      <c r="J677" s="33"/>
    </row>
    <row r="678" spans="1:10" x14ac:dyDescent="0.3">
      <c r="A678" s="26" t="s">
        <v>828</v>
      </c>
      <c r="B678" s="8" t="s">
        <v>829</v>
      </c>
      <c r="C678" s="8" t="s">
        <v>920</v>
      </c>
      <c r="D678" s="6">
        <v>5056003700886</v>
      </c>
      <c r="E678" s="9" t="s">
        <v>847</v>
      </c>
      <c r="F678" s="9" t="s">
        <v>921</v>
      </c>
      <c r="G678" s="31">
        <v>269.4051</v>
      </c>
      <c r="I678" s="2">
        <f>VLOOKUP(C678,[1]Sheet1!$C:$G,5,FALSE)</f>
        <v>212.13</v>
      </c>
      <c r="J678" s="33">
        <f t="shared" ref="J678:J738" si="11">(G678-I678)/I678</f>
        <v>0.27000000000000007</v>
      </c>
    </row>
    <row r="679" spans="1:10" x14ac:dyDescent="0.3">
      <c r="A679" s="26" t="s">
        <v>828</v>
      </c>
      <c r="B679" s="8" t="s">
        <v>829</v>
      </c>
      <c r="C679" s="8" t="s">
        <v>922</v>
      </c>
      <c r="D679" s="6">
        <v>5056003709506</v>
      </c>
      <c r="E679" s="9" t="s">
        <v>847</v>
      </c>
      <c r="F679" s="9" t="s">
        <v>923</v>
      </c>
      <c r="G679" s="31">
        <v>270.86399999999998</v>
      </c>
      <c r="I679" s="2">
        <f>VLOOKUP(C679,[1]Sheet1!$C:$G,5,FALSE)</f>
        <v>225.72</v>
      </c>
      <c r="J679" s="33">
        <f t="shared" si="11"/>
        <v>0.1999999999999999</v>
      </c>
    </row>
    <row r="680" spans="1:10" x14ac:dyDescent="0.3">
      <c r="A680" s="26" t="s">
        <v>828</v>
      </c>
      <c r="B680" s="8" t="s">
        <v>829</v>
      </c>
      <c r="C680" s="8" t="s">
        <v>924</v>
      </c>
      <c r="D680" s="6">
        <v>5056003700381</v>
      </c>
      <c r="E680" s="9" t="s">
        <v>834</v>
      </c>
      <c r="F680" s="9" t="s">
        <v>925</v>
      </c>
      <c r="G680" s="31" t="s">
        <v>92</v>
      </c>
      <c r="I680" s="2" t="str">
        <f>VLOOKUP(C680,[1]Sheet1!$C:$G,5,FALSE)</f>
        <v>POA</v>
      </c>
      <c r="J680" s="33"/>
    </row>
    <row r="681" spans="1:10" x14ac:dyDescent="0.3">
      <c r="A681" s="26" t="s">
        <v>828</v>
      </c>
      <c r="B681" s="8" t="s">
        <v>829</v>
      </c>
      <c r="C681" s="8" t="s">
        <v>926</v>
      </c>
      <c r="D681" s="6">
        <v>5056003700862</v>
      </c>
      <c r="E681" s="9" t="s">
        <v>847</v>
      </c>
      <c r="F681" s="9" t="s">
        <v>927</v>
      </c>
      <c r="G681" s="31">
        <v>150.61199999999999</v>
      </c>
      <c r="I681" s="2">
        <f>VLOOKUP(C681,[1]Sheet1!$C:$G,5,FALSE)</f>
        <v>143.44</v>
      </c>
      <c r="J681" s="33">
        <f t="shared" si="11"/>
        <v>4.9999999999999982E-2</v>
      </c>
    </row>
    <row r="682" spans="1:10" x14ac:dyDescent="0.3">
      <c r="A682" s="26" t="s">
        <v>828</v>
      </c>
      <c r="B682" s="8" t="s">
        <v>829</v>
      </c>
      <c r="C682" s="8" t="s">
        <v>928</v>
      </c>
      <c r="D682" s="6">
        <v>5056003717327</v>
      </c>
      <c r="E682" s="9" t="s">
        <v>929</v>
      </c>
      <c r="F682" s="9" t="s">
        <v>927</v>
      </c>
      <c r="G682" s="31">
        <v>103.51950000000001</v>
      </c>
      <c r="I682" s="2">
        <f>VLOOKUP(C682,[1]Sheet1!$C:$G,5,FALSE)</f>
        <v>98.59</v>
      </c>
      <c r="J682" s="33">
        <f t="shared" si="11"/>
        <v>5.0000000000000044E-2</v>
      </c>
    </row>
    <row r="683" spans="1:10" x14ac:dyDescent="0.3">
      <c r="A683" s="26" t="s">
        <v>828</v>
      </c>
      <c r="B683" s="8" t="s">
        <v>1622</v>
      </c>
      <c r="C683" s="8" t="s">
        <v>1648</v>
      </c>
      <c r="D683" s="6">
        <v>5056003703566</v>
      </c>
      <c r="E683" s="9" t="s">
        <v>1627</v>
      </c>
      <c r="F683" s="9" t="s">
        <v>1649</v>
      </c>
      <c r="G683" s="31">
        <v>25.819500000000001</v>
      </c>
      <c r="I683" s="2">
        <f>VLOOKUP(C683,[1]Sheet1!$C:$G,5,FALSE)</f>
        <v>24.59</v>
      </c>
      <c r="J683" s="33">
        <f t="shared" si="11"/>
        <v>5.0000000000000065E-2</v>
      </c>
    </row>
    <row r="684" spans="1:10" x14ac:dyDescent="0.3">
      <c r="A684" s="26" t="s">
        <v>828</v>
      </c>
      <c r="B684" s="8" t="s">
        <v>829</v>
      </c>
      <c r="C684" s="8" t="s">
        <v>930</v>
      </c>
      <c r="D684" s="6">
        <v>5056003701302</v>
      </c>
      <c r="E684" s="9" t="s">
        <v>847</v>
      </c>
      <c r="F684" s="9" t="s">
        <v>925</v>
      </c>
      <c r="G684" s="31">
        <v>165.00750000000002</v>
      </c>
      <c r="I684" s="2">
        <f>VLOOKUP(C684,[1]Sheet1!$C:$G,5,FALSE)</f>
        <v>157.15</v>
      </c>
      <c r="J684" s="33">
        <f t="shared" si="11"/>
        <v>5.00000000000001E-2</v>
      </c>
    </row>
    <row r="685" spans="1:10" x14ac:dyDescent="0.3">
      <c r="A685" s="26" t="s">
        <v>828</v>
      </c>
      <c r="B685" s="8" t="s">
        <v>829</v>
      </c>
      <c r="C685" s="8" t="s">
        <v>931</v>
      </c>
      <c r="D685" s="6">
        <v>5056003707960</v>
      </c>
      <c r="E685" s="9" t="s">
        <v>932</v>
      </c>
      <c r="F685" s="9" t="s">
        <v>933</v>
      </c>
      <c r="G685" s="31">
        <v>94.436999999999998</v>
      </c>
      <c r="I685" s="2">
        <f>VLOOKUP(C685,[1]Sheet1!$C:$G,5,FALSE)</f>
        <v>89.94</v>
      </c>
      <c r="J685" s="33">
        <f t="shared" si="11"/>
        <v>0.05</v>
      </c>
    </row>
    <row r="686" spans="1:10" x14ac:dyDescent="0.3">
      <c r="A686" s="26" t="s">
        <v>828</v>
      </c>
      <c r="B686" s="8" t="s">
        <v>829</v>
      </c>
      <c r="C686" s="8" t="s">
        <v>934</v>
      </c>
      <c r="D686" s="6">
        <v>5056003700350</v>
      </c>
      <c r="E686" s="9" t="s">
        <v>847</v>
      </c>
      <c r="F686" s="9" t="s">
        <v>935</v>
      </c>
      <c r="G686" s="31">
        <v>180.054</v>
      </c>
      <c r="I686" s="2">
        <f>VLOOKUP(C686,[1]Sheet1!$C:$G,5,FALSE)</f>
        <v>171.48</v>
      </c>
      <c r="J686" s="33">
        <f t="shared" si="11"/>
        <v>5.0000000000000072E-2</v>
      </c>
    </row>
    <row r="687" spans="1:10" x14ac:dyDescent="0.3">
      <c r="A687" s="26" t="s">
        <v>828</v>
      </c>
      <c r="B687" s="8" t="s">
        <v>1533</v>
      </c>
      <c r="C687" s="8" t="s">
        <v>1556</v>
      </c>
      <c r="D687" s="6">
        <v>5056003739404</v>
      </c>
      <c r="E687" s="9" t="s">
        <v>1535</v>
      </c>
      <c r="F687" s="9" t="s">
        <v>1557</v>
      </c>
      <c r="G687" s="31">
        <v>70.444500000000005</v>
      </c>
      <c r="I687" s="2">
        <f>VLOOKUP(C687,[1]Sheet1!$C:$G,5,FALSE)</f>
        <v>67.09</v>
      </c>
      <c r="J687" s="33">
        <f t="shared" si="11"/>
        <v>5.0000000000000024E-2</v>
      </c>
    </row>
    <row r="688" spans="1:10" x14ac:dyDescent="0.3">
      <c r="A688" s="26" t="s">
        <v>828</v>
      </c>
      <c r="B688" s="8" t="s">
        <v>1533</v>
      </c>
      <c r="C688" s="8" t="s">
        <v>1558</v>
      </c>
      <c r="D688" s="6">
        <v>5056003739428</v>
      </c>
      <c r="E688" s="9" t="s">
        <v>1559</v>
      </c>
      <c r="F688" s="9" t="s">
        <v>1560</v>
      </c>
      <c r="G688" s="31">
        <v>89.386499999999998</v>
      </c>
      <c r="I688" s="2">
        <f>VLOOKUP(C688,[1]Sheet1!$C:$G,5,FALSE)</f>
        <v>85.13</v>
      </c>
      <c r="J688" s="33">
        <f t="shared" si="11"/>
        <v>5.0000000000000031E-2</v>
      </c>
    </row>
    <row r="689" spans="1:10" ht="26" x14ac:dyDescent="0.3">
      <c r="A689" s="26" t="s">
        <v>828</v>
      </c>
      <c r="B689" s="8" t="s">
        <v>1533</v>
      </c>
      <c r="C689" s="8" t="s">
        <v>1561</v>
      </c>
      <c r="D689" s="6">
        <v>5056003739411</v>
      </c>
      <c r="E689" s="9" t="s">
        <v>1562</v>
      </c>
      <c r="F689" s="9" t="s">
        <v>1563</v>
      </c>
      <c r="G689" s="31">
        <v>92.757000000000005</v>
      </c>
      <c r="I689" s="2">
        <f>VLOOKUP(C689,[1]Sheet1!$C:$G,5,FALSE)</f>
        <v>88.34</v>
      </c>
      <c r="J689" s="33">
        <f t="shared" si="11"/>
        <v>5.0000000000000017E-2</v>
      </c>
    </row>
    <row r="690" spans="1:10" x14ac:dyDescent="0.3">
      <c r="A690" s="26" t="s">
        <v>828</v>
      </c>
      <c r="B690" s="8" t="s">
        <v>1533</v>
      </c>
      <c r="C690" s="8" t="s">
        <v>1564</v>
      </c>
      <c r="D690" s="6">
        <v>5056003739435</v>
      </c>
      <c r="E690" s="9" t="s">
        <v>1565</v>
      </c>
      <c r="F690" s="9" t="s">
        <v>1566</v>
      </c>
      <c r="G690" s="31">
        <v>125.8215</v>
      </c>
      <c r="I690" s="2">
        <f>VLOOKUP(C690,[1]Sheet1!$C:$G,5,FALSE)</f>
        <v>119.83</v>
      </c>
      <c r="J690" s="33">
        <f t="shared" si="11"/>
        <v>5.0000000000000017E-2</v>
      </c>
    </row>
    <row r="691" spans="1:10" x14ac:dyDescent="0.3">
      <c r="A691" s="20" t="s">
        <v>401</v>
      </c>
      <c r="B691" s="8" t="s">
        <v>709</v>
      </c>
      <c r="C691" s="13" t="s">
        <v>710</v>
      </c>
      <c r="D691" s="6">
        <v>5056003725957</v>
      </c>
      <c r="E691" s="14" t="s">
        <v>711</v>
      </c>
      <c r="F691" s="9" t="s">
        <v>712</v>
      </c>
      <c r="G691" s="31" t="s">
        <v>92</v>
      </c>
      <c r="I691" s="2" t="str">
        <f>VLOOKUP(C691,[1]Sheet1!$C:$G,5,FALSE)</f>
        <v>POA</v>
      </c>
      <c r="J691" s="33"/>
    </row>
    <row r="692" spans="1:10" x14ac:dyDescent="0.3">
      <c r="A692" s="20" t="s">
        <v>401</v>
      </c>
      <c r="B692" s="8" t="s">
        <v>709</v>
      </c>
      <c r="C692" s="13" t="s">
        <v>713</v>
      </c>
      <c r="D692" s="6">
        <v>5056003725964</v>
      </c>
      <c r="E692" s="14" t="s">
        <v>714</v>
      </c>
      <c r="F692" s="9" t="s">
        <v>712</v>
      </c>
      <c r="G692" s="31" t="s">
        <v>92</v>
      </c>
      <c r="I692" s="2" t="str">
        <f>VLOOKUP(C692,[1]Sheet1!$C:$G,5,FALSE)</f>
        <v>POA</v>
      </c>
      <c r="J692" s="33"/>
    </row>
    <row r="693" spans="1:10" x14ac:dyDescent="0.3">
      <c r="A693" s="20" t="s">
        <v>401</v>
      </c>
      <c r="B693" s="8" t="s">
        <v>709</v>
      </c>
      <c r="C693" s="13" t="s">
        <v>715</v>
      </c>
      <c r="D693" s="6">
        <v>5056003735413</v>
      </c>
      <c r="E693" s="14" t="s">
        <v>716</v>
      </c>
      <c r="F693" s="9" t="s">
        <v>712</v>
      </c>
      <c r="G693" s="31" t="s">
        <v>92</v>
      </c>
      <c r="I693" s="2" t="str">
        <f>VLOOKUP(C693,[1]Sheet1!$C:$G,5,FALSE)</f>
        <v>POA</v>
      </c>
      <c r="J693" s="33"/>
    </row>
    <row r="694" spans="1:10" x14ac:dyDescent="0.3">
      <c r="A694" s="20" t="s">
        <v>401</v>
      </c>
      <c r="B694" s="8" t="s">
        <v>709</v>
      </c>
      <c r="C694" s="13" t="s">
        <v>717</v>
      </c>
      <c r="D694" s="6">
        <v>5056003725971</v>
      </c>
      <c r="E694" s="14" t="s">
        <v>718</v>
      </c>
      <c r="F694" s="9" t="s">
        <v>712</v>
      </c>
      <c r="G694" s="31" t="s">
        <v>92</v>
      </c>
      <c r="I694" s="2" t="str">
        <f>VLOOKUP(C694,[1]Sheet1!$C:$G,5,FALSE)</f>
        <v>POA</v>
      </c>
      <c r="J694" s="33"/>
    </row>
    <row r="695" spans="1:10" x14ac:dyDescent="0.3">
      <c r="A695" s="20" t="s">
        <v>401</v>
      </c>
      <c r="B695" s="8" t="s">
        <v>709</v>
      </c>
      <c r="C695" s="13" t="s">
        <v>719</v>
      </c>
      <c r="D695" s="6">
        <v>5056003725988</v>
      </c>
      <c r="E695" s="14" t="s">
        <v>720</v>
      </c>
      <c r="F695" s="9" t="s">
        <v>712</v>
      </c>
      <c r="G695" s="31" t="s">
        <v>92</v>
      </c>
      <c r="I695" s="2" t="str">
        <f>VLOOKUP(C695,[1]Sheet1!$C:$G,5,FALSE)</f>
        <v>POA</v>
      </c>
      <c r="J695" s="33"/>
    </row>
    <row r="696" spans="1:10" x14ac:dyDescent="0.3">
      <c r="A696" s="20" t="s">
        <v>401</v>
      </c>
      <c r="B696" s="8" t="s">
        <v>709</v>
      </c>
      <c r="C696" s="13" t="s">
        <v>721</v>
      </c>
      <c r="D696" s="6">
        <v>5056003725995</v>
      </c>
      <c r="E696" s="14" t="s">
        <v>722</v>
      </c>
      <c r="F696" s="9" t="s">
        <v>712</v>
      </c>
      <c r="G696" s="31" t="s">
        <v>92</v>
      </c>
      <c r="I696" s="2" t="str">
        <f>VLOOKUP(C696,[1]Sheet1!$C:$G,5,FALSE)</f>
        <v>POA</v>
      </c>
      <c r="J696" s="33"/>
    </row>
    <row r="697" spans="1:10" x14ac:dyDescent="0.3">
      <c r="A697" s="20" t="s">
        <v>401</v>
      </c>
      <c r="B697" s="8" t="s">
        <v>709</v>
      </c>
      <c r="C697" s="13" t="s">
        <v>723</v>
      </c>
      <c r="D697" s="6">
        <v>5056003726008</v>
      </c>
      <c r="E697" s="14" t="s">
        <v>724</v>
      </c>
      <c r="F697" s="9" t="s">
        <v>712</v>
      </c>
      <c r="G697" s="31" t="s">
        <v>92</v>
      </c>
      <c r="I697" s="2" t="str">
        <f>VLOOKUP(C697,[1]Sheet1!$C:$G,5,FALSE)</f>
        <v>POA</v>
      </c>
      <c r="J697" s="33"/>
    </row>
    <row r="698" spans="1:10" x14ac:dyDescent="0.3">
      <c r="A698" s="20" t="s">
        <v>401</v>
      </c>
      <c r="B698" s="8" t="s">
        <v>709</v>
      </c>
      <c r="C698" s="13" t="s">
        <v>725</v>
      </c>
      <c r="D698" s="6">
        <v>5056003726015</v>
      </c>
      <c r="E698" s="14" t="s">
        <v>726</v>
      </c>
      <c r="F698" s="9" t="s">
        <v>712</v>
      </c>
      <c r="G698" s="31" t="s">
        <v>92</v>
      </c>
      <c r="I698" s="2" t="str">
        <f>VLOOKUP(C698,[1]Sheet1!$C:$G,5,FALSE)</f>
        <v>POA</v>
      </c>
      <c r="J698" s="33"/>
    </row>
    <row r="699" spans="1:10" x14ac:dyDescent="0.3">
      <c r="A699" s="20" t="s">
        <v>401</v>
      </c>
      <c r="B699" s="8" t="s">
        <v>709</v>
      </c>
      <c r="C699" s="13" t="s">
        <v>727</v>
      </c>
      <c r="D699" s="6">
        <v>5056003726022</v>
      </c>
      <c r="E699" s="14" t="s">
        <v>728</v>
      </c>
      <c r="F699" s="9" t="s">
        <v>712</v>
      </c>
      <c r="G699" s="31" t="s">
        <v>92</v>
      </c>
      <c r="I699" s="2" t="str">
        <f>VLOOKUP(C699,[1]Sheet1!$C:$G,5,FALSE)</f>
        <v>POA</v>
      </c>
      <c r="J699" s="33"/>
    </row>
    <row r="700" spans="1:10" x14ac:dyDescent="0.3">
      <c r="A700" s="20" t="s">
        <v>401</v>
      </c>
      <c r="B700" s="8" t="s">
        <v>709</v>
      </c>
      <c r="C700" s="13" t="s">
        <v>729</v>
      </c>
      <c r="D700" s="6">
        <v>5056003726039</v>
      </c>
      <c r="E700" s="14" t="s">
        <v>730</v>
      </c>
      <c r="F700" s="9" t="s">
        <v>712</v>
      </c>
      <c r="G700" s="31" t="s">
        <v>92</v>
      </c>
      <c r="I700" s="2" t="str">
        <f>VLOOKUP(C700,[1]Sheet1!$C:$G,5,FALSE)</f>
        <v>POA</v>
      </c>
      <c r="J700" s="33"/>
    </row>
    <row r="701" spans="1:10" x14ac:dyDescent="0.3">
      <c r="A701" s="20" t="s">
        <v>401</v>
      </c>
      <c r="B701" s="8" t="s">
        <v>709</v>
      </c>
      <c r="C701" s="13" t="s">
        <v>731</v>
      </c>
      <c r="D701" s="6">
        <v>5056003726046</v>
      </c>
      <c r="E701" s="14" t="s">
        <v>732</v>
      </c>
      <c r="F701" s="9" t="s">
        <v>712</v>
      </c>
      <c r="G701" s="31" t="s">
        <v>92</v>
      </c>
      <c r="I701" s="2" t="str">
        <f>VLOOKUP(C701,[1]Sheet1!$C:$G,5,FALSE)</f>
        <v>POA</v>
      </c>
      <c r="J701" s="33"/>
    </row>
    <row r="702" spans="1:10" x14ac:dyDescent="0.3">
      <c r="A702" s="20" t="s">
        <v>401</v>
      </c>
      <c r="B702" s="8" t="s">
        <v>709</v>
      </c>
      <c r="C702" s="13" t="s">
        <v>733</v>
      </c>
      <c r="D702" s="6">
        <v>5056003726053</v>
      </c>
      <c r="E702" s="14" t="s">
        <v>734</v>
      </c>
      <c r="F702" s="9" t="s">
        <v>712</v>
      </c>
      <c r="G702" s="31" t="s">
        <v>92</v>
      </c>
      <c r="I702" s="2" t="str">
        <f>VLOOKUP(C702,[1]Sheet1!$C:$G,5,FALSE)</f>
        <v>POA</v>
      </c>
      <c r="J702" s="33"/>
    </row>
    <row r="703" spans="1:10" x14ac:dyDescent="0.3">
      <c r="A703" s="20" t="s">
        <v>401</v>
      </c>
      <c r="B703" s="8" t="s">
        <v>709</v>
      </c>
      <c r="C703" s="13" t="s">
        <v>735</v>
      </c>
      <c r="D703" s="6">
        <v>5056003726060</v>
      </c>
      <c r="E703" s="14" t="s">
        <v>736</v>
      </c>
      <c r="F703" s="9" t="s">
        <v>712</v>
      </c>
      <c r="G703" s="31" t="s">
        <v>92</v>
      </c>
      <c r="I703" s="2" t="str">
        <f>VLOOKUP(C703,[1]Sheet1!$C:$G,5,FALSE)</f>
        <v>POA</v>
      </c>
      <c r="J703" s="33"/>
    </row>
    <row r="704" spans="1:10" x14ac:dyDescent="0.3">
      <c r="A704" s="20" t="s">
        <v>401</v>
      </c>
      <c r="B704" s="8" t="s">
        <v>709</v>
      </c>
      <c r="C704" s="13" t="s">
        <v>737</v>
      </c>
      <c r="D704" s="6">
        <v>5056003726077</v>
      </c>
      <c r="E704" s="14" t="s">
        <v>738</v>
      </c>
      <c r="F704" s="9" t="s">
        <v>712</v>
      </c>
      <c r="G704" s="31" t="s">
        <v>92</v>
      </c>
      <c r="I704" s="2" t="str">
        <f>VLOOKUP(C704,[1]Sheet1!$C:$G,5,FALSE)</f>
        <v>POA</v>
      </c>
      <c r="J704" s="33"/>
    </row>
    <row r="705" spans="1:10" x14ac:dyDescent="0.3">
      <c r="A705" s="20" t="s">
        <v>401</v>
      </c>
      <c r="B705" s="8" t="s">
        <v>709</v>
      </c>
      <c r="C705" s="13" t="s">
        <v>739</v>
      </c>
      <c r="D705" s="6">
        <v>5056003726084</v>
      </c>
      <c r="E705" s="14" t="s">
        <v>740</v>
      </c>
      <c r="F705" s="9" t="s">
        <v>712</v>
      </c>
      <c r="G705" s="31" t="s">
        <v>92</v>
      </c>
      <c r="I705" s="2" t="str">
        <f>VLOOKUP(C705,[1]Sheet1!$C:$G,5,FALSE)</f>
        <v>POA</v>
      </c>
      <c r="J705" s="33"/>
    </row>
    <row r="706" spans="1:10" x14ac:dyDescent="0.3">
      <c r="A706" s="20" t="s">
        <v>401</v>
      </c>
      <c r="B706" s="8" t="s">
        <v>709</v>
      </c>
      <c r="C706" s="13" t="s">
        <v>741</v>
      </c>
      <c r="D706" s="6">
        <v>5056003726091</v>
      </c>
      <c r="E706" s="14" t="s">
        <v>742</v>
      </c>
      <c r="F706" s="9" t="s">
        <v>712</v>
      </c>
      <c r="G706" s="31" t="s">
        <v>92</v>
      </c>
      <c r="I706" s="2" t="str">
        <f>VLOOKUP(C706,[1]Sheet1!$C:$G,5,FALSE)</f>
        <v>POA</v>
      </c>
      <c r="J706" s="33"/>
    </row>
    <row r="707" spans="1:10" x14ac:dyDescent="0.3">
      <c r="A707" s="20" t="s">
        <v>401</v>
      </c>
      <c r="B707" s="8" t="s">
        <v>709</v>
      </c>
      <c r="C707" s="13" t="s">
        <v>743</v>
      </c>
      <c r="D707" s="6">
        <v>5056003726121</v>
      </c>
      <c r="E707" s="14" t="s">
        <v>744</v>
      </c>
      <c r="F707" s="9" t="s">
        <v>712</v>
      </c>
      <c r="G707" s="31" t="s">
        <v>92</v>
      </c>
      <c r="I707" s="2" t="str">
        <f>VLOOKUP(C707,[1]Sheet1!$C:$G,5,FALSE)</f>
        <v>POA</v>
      </c>
      <c r="J707" s="33"/>
    </row>
    <row r="708" spans="1:10" x14ac:dyDescent="0.3">
      <c r="A708" s="20" t="s">
        <v>401</v>
      </c>
      <c r="B708" s="8" t="s">
        <v>709</v>
      </c>
      <c r="C708" s="13" t="s">
        <v>745</v>
      </c>
      <c r="D708" s="6">
        <v>5056003726138</v>
      </c>
      <c r="E708" s="14" t="s">
        <v>746</v>
      </c>
      <c r="F708" s="9" t="s">
        <v>712</v>
      </c>
      <c r="G708" s="31" t="s">
        <v>92</v>
      </c>
      <c r="I708" s="2" t="str">
        <f>VLOOKUP(C708,[1]Sheet1!$C:$G,5,FALSE)</f>
        <v>POA</v>
      </c>
      <c r="J708" s="33"/>
    </row>
    <row r="709" spans="1:10" x14ac:dyDescent="0.3">
      <c r="A709" s="20" t="s">
        <v>401</v>
      </c>
      <c r="B709" s="8" t="s">
        <v>709</v>
      </c>
      <c r="C709" s="13" t="s">
        <v>747</v>
      </c>
      <c r="D709" s="6">
        <v>5056003726145</v>
      </c>
      <c r="E709" s="14" t="s">
        <v>748</v>
      </c>
      <c r="F709" s="9" t="s">
        <v>712</v>
      </c>
      <c r="G709" s="31" t="s">
        <v>92</v>
      </c>
      <c r="I709" s="2" t="str">
        <f>VLOOKUP(C709,[1]Sheet1!$C:$G,5,FALSE)</f>
        <v>POA</v>
      </c>
      <c r="J709" s="33"/>
    </row>
    <row r="710" spans="1:10" x14ac:dyDescent="0.3">
      <c r="A710" s="20" t="s">
        <v>401</v>
      </c>
      <c r="B710" s="8" t="s">
        <v>709</v>
      </c>
      <c r="C710" s="13" t="s">
        <v>749</v>
      </c>
      <c r="D710" s="6">
        <v>5056003726152</v>
      </c>
      <c r="E710" s="14" t="s">
        <v>750</v>
      </c>
      <c r="F710" s="9" t="s">
        <v>712</v>
      </c>
      <c r="G710" s="31" t="s">
        <v>92</v>
      </c>
      <c r="I710" s="2" t="str">
        <f>VLOOKUP(C710,[1]Sheet1!$C:$G,5,FALSE)</f>
        <v>POA</v>
      </c>
      <c r="J710" s="33"/>
    </row>
    <row r="711" spans="1:10" x14ac:dyDescent="0.3">
      <c r="A711" s="20" t="s">
        <v>401</v>
      </c>
      <c r="B711" s="8" t="s">
        <v>709</v>
      </c>
      <c r="C711" s="13" t="s">
        <v>751</v>
      </c>
      <c r="D711" s="6">
        <v>5056003726169</v>
      </c>
      <c r="E711" s="14" t="s">
        <v>752</v>
      </c>
      <c r="F711" s="9" t="s">
        <v>712</v>
      </c>
      <c r="G711" s="31" t="s">
        <v>92</v>
      </c>
      <c r="I711" s="2" t="str">
        <f>VLOOKUP(C711,[1]Sheet1!$C:$G,5,FALSE)</f>
        <v>POA</v>
      </c>
      <c r="J711" s="33"/>
    </row>
    <row r="712" spans="1:10" x14ac:dyDescent="0.3">
      <c r="A712" s="20" t="s">
        <v>401</v>
      </c>
      <c r="B712" s="8" t="s">
        <v>709</v>
      </c>
      <c r="C712" s="13" t="s">
        <v>753</v>
      </c>
      <c r="D712" s="6">
        <v>5056003726176</v>
      </c>
      <c r="E712" s="14" t="s">
        <v>754</v>
      </c>
      <c r="F712" s="9" t="s">
        <v>712</v>
      </c>
      <c r="G712" s="31" t="s">
        <v>92</v>
      </c>
      <c r="I712" s="2" t="str">
        <f>VLOOKUP(C712,[1]Sheet1!$C:$G,5,FALSE)</f>
        <v>POA</v>
      </c>
      <c r="J712" s="33"/>
    </row>
    <row r="713" spans="1:10" x14ac:dyDescent="0.3">
      <c r="A713" s="20" t="s">
        <v>401</v>
      </c>
      <c r="B713" s="8" t="s">
        <v>709</v>
      </c>
      <c r="C713" s="13" t="s">
        <v>755</v>
      </c>
      <c r="D713" s="6">
        <v>5056003726183</v>
      </c>
      <c r="E713" s="14" t="s">
        <v>756</v>
      </c>
      <c r="F713" s="9" t="s">
        <v>712</v>
      </c>
      <c r="G713" s="31" t="s">
        <v>92</v>
      </c>
      <c r="I713" s="2" t="str">
        <f>VLOOKUP(C713,[1]Sheet1!$C:$G,5,FALSE)</f>
        <v>POA</v>
      </c>
      <c r="J713" s="33"/>
    </row>
    <row r="714" spans="1:10" x14ac:dyDescent="0.3">
      <c r="A714" s="20" t="s">
        <v>401</v>
      </c>
      <c r="B714" s="8" t="s">
        <v>709</v>
      </c>
      <c r="C714" s="13" t="s">
        <v>757</v>
      </c>
      <c r="D714" s="6">
        <v>5056003726190</v>
      </c>
      <c r="E714" s="14" t="s">
        <v>758</v>
      </c>
      <c r="F714" s="9" t="s">
        <v>712</v>
      </c>
      <c r="G714" s="31" t="s">
        <v>92</v>
      </c>
      <c r="I714" s="2" t="str">
        <f>VLOOKUP(C714,[1]Sheet1!$C:$G,5,FALSE)</f>
        <v>POA</v>
      </c>
      <c r="J714" s="33"/>
    </row>
    <row r="715" spans="1:10" x14ac:dyDescent="0.3">
      <c r="A715" s="20" t="s">
        <v>401</v>
      </c>
      <c r="B715" s="8" t="s">
        <v>709</v>
      </c>
      <c r="C715" s="13" t="s">
        <v>759</v>
      </c>
      <c r="D715" s="6">
        <v>5056003726206</v>
      </c>
      <c r="E715" s="14" t="s">
        <v>760</v>
      </c>
      <c r="F715" s="9" t="s">
        <v>712</v>
      </c>
      <c r="G715" s="31" t="s">
        <v>92</v>
      </c>
      <c r="I715" s="2" t="str">
        <f>VLOOKUP(C715,[1]Sheet1!$C:$G,5,FALSE)</f>
        <v>POA</v>
      </c>
      <c r="J715" s="33"/>
    </row>
    <row r="716" spans="1:10" x14ac:dyDescent="0.3">
      <c r="A716" s="20" t="s">
        <v>401</v>
      </c>
      <c r="B716" s="8" t="s">
        <v>709</v>
      </c>
      <c r="C716" s="13" t="s">
        <v>761</v>
      </c>
      <c r="D716" s="6">
        <v>5056003726213</v>
      </c>
      <c r="E716" s="14" t="s">
        <v>762</v>
      </c>
      <c r="F716" s="9" t="s">
        <v>712</v>
      </c>
      <c r="G716" s="31" t="s">
        <v>92</v>
      </c>
      <c r="I716" s="2" t="str">
        <f>VLOOKUP(C716,[1]Sheet1!$C:$G,5,FALSE)</f>
        <v>POA</v>
      </c>
      <c r="J716" s="33"/>
    </row>
    <row r="717" spans="1:10" x14ac:dyDescent="0.3">
      <c r="A717" s="20" t="s">
        <v>401</v>
      </c>
      <c r="B717" s="8" t="s">
        <v>709</v>
      </c>
      <c r="C717" s="13" t="s">
        <v>763</v>
      </c>
      <c r="D717" s="6">
        <v>5056003726220</v>
      </c>
      <c r="E717" s="14" t="s">
        <v>764</v>
      </c>
      <c r="F717" s="9" t="s">
        <v>712</v>
      </c>
      <c r="G717" s="31" t="s">
        <v>92</v>
      </c>
      <c r="I717" s="2" t="str">
        <f>VLOOKUP(C717,[1]Sheet1!$C:$G,5,FALSE)</f>
        <v>POA</v>
      </c>
      <c r="J717" s="33"/>
    </row>
    <row r="718" spans="1:10" x14ac:dyDescent="0.3">
      <c r="A718" s="20" t="s">
        <v>401</v>
      </c>
      <c r="B718" s="8" t="s">
        <v>709</v>
      </c>
      <c r="C718" s="13" t="s">
        <v>765</v>
      </c>
      <c r="D718" s="6">
        <v>5056003726237</v>
      </c>
      <c r="E718" s="14" t="s">
        <v>766</v>
      </c>
      <c r="F718" s="9" t="s">
        <v>712</v>
      </c>
      <c r="G718" s="31" t="s">
        <v>92</v>
      </c>
      <c r="I718" s="2" t="str">
        <f>VLOOKUP(C718,[1]Sheet1!$C:$G,5,FALSE)</f>
        <v>POA</v>
      </c>
      <c r="J718" s="33"/>
    </row>
    <row r="719" spans="1:10" x14ac:dyDescent="0.3">
      <c r="A719" s="20" t="s">
        <v>401</v>
      </c>
      <c r="B719" s="8" t="s">
        <v>709</v>
      </c>
      <c r="C719" s="13" t="s">
        <v>767</v>
      </c>
      <c r="D719" s="6">
        <v>5056003726244</v>
      </c>
      <c r="E719" s="14" t="s">
        <v>768</v>
      </c>
      <c r="F719" s="9" t="s">
        <v>712</v>
      </c>
      <c r="G719" s="31" t="s">
        <v>92</v>
      </c>
      <c r="I719" s="2" t="str">
        <f>VLOOKUP(C719,[1]Sheet1!$C:$G,5,FALSE)</f>
        <v>POA</v>
      </c>
      <c r="J719" s="33"/>
    </row>
    <row r="720" spans="1:10" x14ac:dyDescent="0.3">
      <c r="A720" s="20" t="s">
        <v>401</v>
      </c>
      <c r="B720" s="8" t="s">
        <v>709</v>
      </c>
      <c r="C720" s="13" t="s">
        <v>769</v>
      </c>
      <c r="D720" s="6">
        <v>5056003726251</v>
      </c>
      <c r="E720" s="14" t="s">
        <v>770</v>
      </c>
      <c r="F720" s="9" t="s">
        <v>712</v>
      </c>
      <c r="G720" s="31" t="s">
        <v>92</v>
      </c>
      <c r="I720" s="2" t="str">
        <f>VLOOKUP(C720,[1]Sheet1!$C:$G,5,FALSE)</f>
        <v>POA</v>
      </c>
      <c r="J720" s="33"/>
    </row>
    <row r="721" spans="1:10" x14ac:dyDescent="0.3">
      <c r="A721" s="24" t="s">
        <v>823</v>
      </c>
      <c r="B721" s="25" t="s">
        <v>824</v>
      </c>
      <c r="C721" s="25" t="s">
        <v>826</v>
      </c>
      <c r="D721" s="6">
        <v>5056003726268</v>
      </c>
      <c r="E721" s="12" t="s">
        <v>827</v>
      </c>
      <c r="F721" s="12" t="s">
        <v>825</v>
      </c>
      <c r="G721" s="31">
        <v>9.8346</v>
      </c>
      <c r="I721" s="2">
        <f>VLOOKUP(C721,[1]Sheet1!$C:$G,5,FALSE)</f>
        <v>8.86</v>
      </c>
      <c r="J721" s="33">
        <f t="shared" si="11"/>
        <v>0.11000000000000007</v>
      </c>
    </row>
    <row r="722" spans="1:10" x14ac:dyDescent="0.3">
      <c r="A722" s="26" t="s">
        <v>828</v>
      </c>
      <c r="B722" s="8" t="s">
        <v>829</v>
      </c>
      <c r="C722" s="8" t="s">
        <v>936</v>
      </c>
      <c r="D722" s="6">
        <v>5056003704327</v>
      </c>
      <c r="E722" s="9" t="s">
        <v>937</v>
      </c>
      <c r="F722" s="9" t="s">
        <v>938</v>
      </c>
      <c r="G722" s="31">
        <v>15.246</v>
      </c>
      <c r="I722" s="2">
        <f>VLOOKUP(C722,[1]Sheet1!$C:$G,5,FALSE)</f>
        <v>14.52</v>
      </c>
      <c r="J722" s="33">
        <f t="shared" si="11"/>
        <v>5.0000000000000058E-2</v>
      </c>
    </row>
    <row r="723" spans="1:10" x14ac:dyDescent="0.3">
      <c r="A723" s="26" t="s">
        <v>828</v>
      </c>
      <c r="B723" s="8" t="s">
        <v>829</v>
      </c>
      <c r="C723" s="8" t="s">
        <v>939</v>
      </c>
      <c r="D723" s="6">
        <v>5056003700442</v>
      </c>
      <c r="E723" s="9" t="s">
        <v>847</v>
      </c>
      <c r="F723" s="9" t="s">
        <v>940</v>
      </c>
      <c r="G723" s="31">
        <v>168.77700000000002</v>
      </c>
      <c r="I723" s="2">
        <f>VLOOKUP(C723,[1]Sheet1!$C:$G,5,FALSE)</f>
        <v>160.74</v>
      </c>
      <c r="J723" s="33">
        <f t="shared" si="11"/>
        <v>5.0000000000000037E-2</v>
      </c>
    </row>
    <row r="724" spans="1:10" x14ac:dyDescent="0.3">
      <c r="A724" s="26" t="s">
        <v>828</v>
      </c>
      <c r="B724" s="8" t="s">
        <v>829</v>
      </c>
      <c r="C724" s="8" t="s">
        <v>941</v>
      </c>
      <c r="D724" s="6">
        <v>5056003706901</v>
      </c>
      <c r="E724" s="9" t="s">
        <v>932</v>
      </c>
      <c r="F724" s="9" t="s">
        <v>940</v>
      </c>
      <c r="G724" s="31">
        <v>90.163500000000013</v>
      </c>
      <c r="I724" s="2">
        <f>VLOOKUP(C724,[1]Sheet1!$C:$G,5,FALSE)</f>
        <v>85.87</v>
      </c>
      <c r="J724" s="33">
        <f t="shared" si="11"/>
        <v>5.00000000000001E-2</v>
      </c>
    </row>
    <row r="725" spans="1:10" x14ac:dyDescent="0.3">
      <c r="A725" s="26" t="s">
        <v>828</v>
      </c>
      <c r="B725" s="8" t="s">
        <v>829</v>
      </c>
      <c r="C725" s="8" t="s">
        <v>942</v>
      </c>
      <c r="D725" s="6">
        <v>5056003700459</v>
      </c>
      <c r="E725" s="9" t="s">
        <v>943</v>
      </c>
      <c r="F725" s="9" t="s">
        <v>940</v>
      </c>
      <c r="G725" s="31" t="s">
        <v>92</v>
      </c>
      <c r="I725" s="2" t="str">
        <f>VLOOKUP(C725,[1]Sheet1!$C:$G,5,FALSE)</f>
        <v>POA</v>
      </c>
      <c r="J725" s="33"/>
    </row>
    <row r="726" spans="1:10" x14ac:dyDescent="0.3">
      <c r="A726" s="26" t="s">
        <v>828</v>
      </c>
      <c r="B726" s="8" t="s">
        <v>829</v>
      </c>
      <c r="C726" s="8" t="s">
        <v>944</v>
      </c>
      <c r="D726" s="6">
        <v>5056003700466</v>
      </c>
      <c r="E726" s="9" t="s">
        <v>887</v>
      </c>
      <c r="F726" s="9" t="s">
        <v>940</v>
      </c>
      <c r="G726" s="31">
        <v>31.7835</v>
      </c>
      <c r="I726" s="2">
        <f>VLOOKUP(C726,[1]Sheet1!$C:$G,5,FALSE)</f>
        <v>30.27</v>
      </c>
      <c r="J726" s="33">
        <f t="shared" si="11"/>
        <v>5.0000000000000017E-2</v>
      </c>
    </row>
    <row r="727" spans="1:10" x14ac:dyDescent="0.3">
      <c r="A727" s="26" t="s">
        <v>828</v>
      </c>
      <c r="B727" s="8" t="s">
        <v>1533</v>
      </c>
      <c r="C727" s="8" t="s">
        <v>1567</v>
      </c>
      <c r="D727" s="6">
        <v>5056003700503</v>
      </c>
      <c r="E727" s="9" t="s">
        <v>1568</v>
      </c>
      <c r="F727" s="9" t="s">
        <v>940</v>
      </c>
      <c r="G727" s="31">
        <v>71.861999999999995</v>
      </c>
      <c r="I727" s="2">
        <f>VLOOKUP(C727,[1]Sheet1!$C:$G,5,FALSE)</f>
        <v>68.44</v>
      </c>
      <c r="J727" s="33">
        <f t="shared" si="11"/>
        <v>4.9999999999999961E-2</v>
      </c>
    </row>
    <row r="728" spans="1:10" x14ac:dyDescent="0.3">
      <c r="A728" s="26" t="s">
        <v>828</v>
      </c>
      <c r="B728" s="8" t="s">
        <v>1622</v>
      </c>
      <c r="C728" s="8" t="s">
        <v>1650</v>
      </c>
      <c r="D728" s="6">
        <v>5056003700510</v>
      </c>
      <c r="E728" s="9" t="s">
        <v>1627</v>
      </c>
      <c r="F728" s="9" t="s">
        <v>940</v>
      </c>
      <c r="G728" s="31">
        <v>27.111000000000001</v>
      </c>
      <c r="I728" s="2">
        <f>VLOOKUP(C728,[1]Sheet1!$C:$G,5,FALSE)</f>
        <v>25.82</v>
      </c>
      <c r="J728" s="33">
        <f t="shared" si="11"/>
        <v>5.0000000000000017E-2</v>
      </c>
    </row>
    <row r="729" spans="1:10" x14ac:dyDescent="0.3">
      <c r="A729" s="26" t="s">
        <v>828</v>
      </c>
      <c r="B729" s="8" t="s">
        <v>991</v>
      </c>
      <c r="C729" s="8" t="s">
        <v>1083</v>
      </c>
      <c r="D729" s="6">
        <v>5060090377944</v>
      </c>
      <c r="E729" s="11" t="s">
        <v>1084</v>
      </c>
      <c r="F729" s="9" t="s">
        <v>940</v>
      </c>
      <c r="G729" s="31">
        <v>12.841500000000002</v>
      </c>
      <c r="I729" s="2">
        <f>VLOOKUP(C729,[1]Sheet1!$C:$G,5,FALSE)</f>
        <v>12.23</v>
      </c>
      <c r="J729" s="33">
        <f t="shared" si="11"/>
        <v>5.00000000000001E-2</v>
      </c>
    </row>
    <row r="730" spans="1:10" x14ac:dyDescent="0.3">
      <c r="A730" s="26" t="s">
        <v>828</v>
      </c>
      <c r="B730" s="8" t="s">
        <v>991</v>
      </c>
      <c r="C730" s="8" t="s">
        <v>1085</v>
      </c>
      <c r="D730" s="6">
        <v>5060090377951</v>
      </c>
      <c r="E730" s="11" t="s">
        <v>1086</v>
      </c>
      <c r="F730" s="9" t="s">
        <v>940</v>
      </c>
      <c r="G730" s="31">
        <v>12.841500000000002</v>
      </c>
      <c r="I730" s="2">
        <f>VLOOKUP(C730,[1]Sheet1!$C:$G,5,FALSE)</f>
        <v>12.23</v>
      </c>
      <c r="J730" s="33">
        <f t="shared" si="11"/>
        <v>5.00000000000001E-2</v>
      </c>
    </row>
    <row r="731" spans="1:10" x14ac:dyDescent="0.3">
      <c r="A731" s="26" t="s">
        <v>828</v>
      </c>
      <c r="B731" s="8" t="s">
        <v>1533</v>
      </c>
      <c r="C731" s="8" t="s">
        <v>1569</v>
      </c>
      <c r="D731" s="6">
        <v>5056003739398</v>
      </c>
      <c r="E731" s="9" t="s">
        <v>1568</v>
      </c>
      <c r="F731" s="9" t="s">
        <v>940</v>
      </c>
      <c r="G731" s="31">
        <v>85.55</v>
      </c>
      <c r="I731" s="2">
        <f>VLOOKUP(C731,[1]Sheet1!$C:$G,5,FALSE)</f>
        <v>68.44</v>
      </c>
      <c r="J731" s="33">
        <f t="shared" si="11"/>
        <v>0.25</v>
      </c>
    </row>
    <row r="732" spans="1:10" x14ac:dyDescent="0.3">
      <c r="A732" s="26" t="s">
        <v>828</v>
      </c>
      <c r="B732" s="8" t="s">
        <v>945</v>
      </c>
      <c r="C732" s="8" t="s">
        <v>987</v>
      </c>
      <c r="D732" s="6">
        <v>5056003772777</v>
      </c>
      <c r="E732" s="9" t="s">
        <v>988</v>
      </c>
      <c r="F732" s="9" t="s">
        <v>948</v>
      </c>
      <c r="G732" s="31" t="s">
        <v>92</v>
      </c>
      <c r="I732" s="2" t="str">
        <f>VLOOKUP(C732,[1]Sheet1!$C:$G,5,FALSE)</f>
        <v>POA</v>
      </c>
      <c r="J732" s="33"/>
    </row>
    <row r="733" spans="1:10" x14ac:dyDescent="0.3">
      <c r="A733" s="26" t="s">
        <v>828</v>
      </c>
      <c r="B733" s="8" t="s">
        <v>945</v>
      </c>
      <c r="C733" s="8" t="s">
        <v>989</v>
      </c>
      <c r="D733" s="6">
        <v>5056003772784</v>
      </c>
      <c r="E733" s="9" t="s">
        <v>990</v>
      </c>
      <c r="F733" s="9" t="s">
        <v>949</v>
      </c>
      <c r="G733" s="31" t="s">
        <v>92</v>
      </c>
      <c r="I733" s="2" t="str">
        <f>VLOOKUP(C733,[1]Sheet1!$C:$G,5,FALSE)</f>
        <v>POA</v>
      </c>
      <c r="J733" s="33"/>
    </row>
    <row r="734" spans="1:10" x14ac:dyDescent="0.3">
      <c r="A734" s="20" t="s">
        <v>401</v>
      </c>
      <c r="B734" s="8" t="s">
        <v>402</v>
      </c>
      <c r="C734" s="8" t="s">
        <v>403</v>
      </c>
      <c r="D734" s="6">
        <v>5056003719444</v>
      </c>
      <c r="E734" s="9" t="s">
        <v>404</v>
      </c>
      <c r="F734" s="9" t="s">
        <v>405</v>
      </c>
      <c r="G734" s="31" t="s">
        <v>92</v>
      </c>
      <c r="I734" s="2" t="str">
        <f>VLOOKUP(C734,[1]Sheet1!$C:$G,5,FALSE)</f>
        <v>POA</v>
      </c>
      <c r="J734" s="33"/>
    </row>
    <row r="735" spans="1:10" x14ac:dyDescent="0.3">
      <c r="A735" s="20" t="s">
        <v>401</v>
      </c>
      <c r="B735" s="8" t="s">
        <v>402</v>
      </c>
      <c r="C735" s="8" t="s">
        <v>406</v>
      </c>
      <c r="D735" s="6">
        <v>5056003719437</v>
      </c>
      <c r="E735" s="9" t="s">
        <v>404</v>
      </c>
      <c r="F735" s="9" t="s">
        <v>407</v>
      </c>
      <c r="G735" s="31" t="s">
        <v>92</v>
      </c>
      <c r="I735" s="2" t="str">
        <f>VLOOKUP(C735,[1]Sheet1!$C:$G,5,FALSE)</f>
        <v>POA</v>
      </c>
      <c r="J735" s="33"/>
    </row>
    <row r="736" spans="1:10" x14ac:dyDescent="0.3">
      <c r="A736" s="20" t="s">
        <v>401</v>
      </c>
      <c r="B736" s="8" t="s">
        <v>418</v>
      </c>
      <c r="C736" s="8" t="s">
        <v>419</v>
      </c>
      <c r="D736" s="6">
        <v>5056003705447</v>
      </c>
      <c r="E736" s="9" t="s">
        <v>420</v>
      </c>
      <c r="F736" s="9" t="s">
        <v>421</v>
      </c>
      <c r="G736" s="31">
        <v>591.67560000000003</v>
      </c>
      <c r="I736" s="2">
        <f>VLOOKUP(C736,[1]Sheet1!$C:$G,5,FALSE)</f>
        <v>484.98</v>
      </c>
      <c r="J736" s="33">
        <f t="shared" si="11"/>
        <v>0.22000000000000003</v>
      </c>
    </row>
    <row r="737" spans="1:10" x14ac:dyDescent="0.3">
      <c r="A737" s="20" t="s">
        <v>401</v>
      </c>
      <c r="B737" s="8" t="s">
        <v>418</v>
      </c>
      <c r="C737" s="8" t="s">
        <v>2198</v>
      </c>
      <c r="D737" s="6">
        <v>5056003705812</v>
      </c>
      <c r="E737" s="9" t="s">
        <v>2199</v>
      </c>
      <c r="F737" s="9" t="s">
        <v>421</v>
      </c>
      <c r="G737" s="31">
        <v>723.21600000000012</v>
      </c>
      <c r="I737" s="2">
        <f>VLOOKUP(C737,[1]Sheet1!$C:$G,5,FALSE)</f>
        <v>556.32000000000005</v>
      </c>
      <c r="J737" s="33">
        <f t="shared" si="11"/>
        <v>0.3000000000000001</v>
      </c>
    </row>
    <row r="738" spans="1:10" x14ac:dyDescent="0.3">
      <c r="A738" s="20" t="s">
        <v>401</v>
      </c>
      <c r="B738" s="8" t="s">
        <v>418</v>
      </c>
      <c r="C738" s="8" t="s">
        <v>422</v>
      </c>
      <c r="D738" s="6">
        <v>5056003705409</v>
      </c>
      <c r="E738" s="9" t="s">
        <v>423</v>
      </c>
      <c r="F738" s="9" t="s">
        <v>421</v>
      </c>
      <c r="G738" s="31">
        <v>257.42849999999999</v>
      </c>
      <c r="I738" s="2">
        <f>VLOOKUP(C738,[1]Sheet1!$C:$G,5,FALSE)</f>
        <v>245.17</v>
      </c>
      <c r="J738" s="33">
        <f t="shared" si="11"/>
        <v>4.9999999999999996E-2</v>
      </c>
    </row>
    <row r="739" spans="1:10" x14ac:dyDescent="0.3">
      <c r="A739" s="20" t="s">
        <v>401</v>
      </c>
      <c r="B739" s="8" t="s">
        <v>418</v>
      </c>
      <c r="C739" s="8" t="s">
        <v>424</v>
      </c>
      <c r="D739" s="6">
        <v>5056003719383</v>
      </c>
      <c r="E739" s="9" t="s">
        <v>425</v>
      </c>
      <c r="F739" s="9" t="s">
        <v>421</v>
      </c>
      <c r="G739" s="30" t="s">
        <v>92</v>
      </c>
      <c r="I739" s="2">
        <f>VLOOKUP(C739,[1]Sheet1!$C:$G,5,FALSE)</f>
        <v>29.61</v>
      </c>
      <c r="J739" s="33"/>
    </row>
    <row r="740" spans="1:10" x14ac:dyDescent="0.3">
      <c r="A740" s="20" t="s">
        <v>401</v>
      </c>
      <c r="B740" s="8" t="s">
        <v>418</v>
      </c>
      <c r="C740" s="8" t="s">
        <v>426</v>
      </c>
      <c r="D740" s="6">
        <v>5056003705379</v>
      </c>
      <c r="E740" s="9" t="s">
        <v>427</v>
      </c>
      <c r="F740" s="9" t="s">
        <v>421</v>
      </c>
      <c r="G740" s="31">
        <v>34.176000000000002</v>
      </c>
      <c r="I740" s="2">
        <f>VLOOKUP(C740,[1]Sheet1!$C:$G,5,FALSE)</f>
        <v>10.68</v>
      </c>
      <c r="J740" s="33">
        <f t="shared" ref="J740:J802" si="12">(G740-I740)/I740</f>
        <v>2.2000000000000002</v>
      </c>
    </row>
    <row r="741" spans="1:10" x14ac:dyDescent="0.3">
      <c r="A741" s="20" t="s">
        <v>401</v>
      </c>
      <c r="B741" s="8" t="s">
        <v>418</v>
      </c>
      <c r="C741" s="8" t="s">
        <v>428</v>
      </c>
      <c r="D741" s="6">
        <v>5056003705386</v>
      </c>
      <c r="E741" s="9" t="s">
        <v>429</v>
      </c>
      <c r="F741" s="9" t="s">
        <v>421</v>
      </c>
      <c r="G741" s="31">
        <v>32.966999999999999</v>
      </c>
      <c r="I741" s="2">
        <f>VLOOKUP(C741,[1]Sheet1!$C:$G,5,FALSE)</f>
        <v>9.99</v>
      </c>
      <c r="J741" s="33">
        <f t="shared" si="12"/>
        <v>2.2999999999999998</v>
      </c>
    </row>
    <row r="742" spans="1:10" x14ac:dyDescent="0.3">
      <c r="A742" s="20" t="s">
        <v>401</v>
      </c>
      <c r="B742" s="8" t="s">
        <v>509</v>
      </c>
      <c r="C742" s="8" t="s">
        <v>512</v>
      </c>
      <c r="D742" s="6">
        <v>5056003705249</v>
      </c>
      <c r="E742" s="9" t="s">
        <v>513</v>
      </c>
      <c r="F742" s="9" t="s">
        <v>476</v>
      </c>
      <c r="G742" s="31">
        <v>113.5155</v>
      </c>
      <c r="I742" s="2">
        <f>VLOOKUP(C742,[1]Sheet1!$C:$G,5,FALSE)</f>
        <v>108.11</v>
      </c>
      <c r="J742" s="33">
        <f t="shared" si="12"/>
        <v>5.0000000000000031E-2</v>
      </c>
    </row>
    <row r="743" spans="1:10" x14ac:dyDescent="0.3">
      <c r="A743" s="20" t="s">
        <v>401</v>
      </c>
      <c r="B743" s="8" t="s">
        <v>509</v>
      </c>
      <c r="C743" s="8" t="s">
        <v>514</v>
      </c>
      <c r="D743" s="6">
        <v>5056003705256</v>
      </c>
      <c r="E743" s="9" t="s">
        <v>513</v>
      </c>
      <c r="F743" s="9" t="s">
        <v>407</v>
      </c>
      <c r="G743" s="31">
        <v>127.12349999999999</v>
      </c>
      <c r="I743" s="2">
        <f>VLOOKUP(C743,[1]Sheet1!$C:$G,5,FALSE)</f>
        <v>121.07</v>
      </c>
      <c r="J743" s="33">
        <f t="shared" si="12"/>
        <v>0.05</v>
      </c>
    </row>
    <row r="744" spans="1:10" x14ac:dyDescent="0.3">
      <c r="A744" s="20" t="s">
        <v>401</v>
      </c>
      <c r="B744" s="8" t="s">
        <v>509</v>
      </c>
      <c r="C744" s="8" t="s">
        <v>515</v>
      </c>
      <c r="D744" s="6">
        <v>5056003706000</v>
      </c>
      <c r="E744" s="9" t="s">
        <v>516</v>
      </c>
      <c r="F744" s="9" t="s">
        <v>421</v>
      </c>
      <c r="G744" s="31">
        <v>30.481500000000004</v>
      </c>
      <c r="I744" s="2">
        <f>VLOOKUP(C744,[1]Sheet1!$C:$G,5,FALSE)</f>
        <v>29.03</v>
      </c>
      <c r="J744" s="33">
        <f t="shared" si="12"/>
        <v>5.00000000000001E-2</v>
      </c>
    </row>
    <row r="745" spans="1:10" x14ac:dyDescent="0.3">
      <c r="A745" s="20" t="s">
        <v>401</v>
      </c>
      <c r="B745" s="8" t="s">
        <v>509</v>
      </c>
      <c r="C745" s="8" t="s">
        <v>517</v>
      </c>
      <c r="D745" s="6">
        <v>5056003707403</v>
      </c>
      <c r="E745" s="9" t="s">
        <v>518</v>
      </c>
      <c r="F745" s="9" t="s">
        <v>421</v>
      </c>
      <c r="G745" s="31">
        <v>454.03050000000002</v>
      </c>
      <c r="I745" s="2">
        <f>VLOOKUP(C745,[1]Sheet1!$C:$G,5,FALSE)</f>
        <v>432.41</v>
      </c>
      <c r="J745" s="33">
        <f t="shared" si="12"/>
        <v>4.9999999999999982E-2</v>
      </c>
    </row>
    <row r="746" spans="1:10" x14ac:dyDescent="0.3">
      <c r="A746" s="20" t="s">
        <v>401</v>
      </c>
      <c r="B746" s="8" t="s">
        <v>509</v>
      </c>
      <c r="C746" s="8" t="s">
        <v>519</v>
      </c>
      <c r="D746" s="6">
        <v>5056003705218</v>
      </c>
      <c r="E746" s="9" t="s">
        <v>520</v>
      </c>
      <c r="F746" s="9" t="s">
        <v>421</v>
      </c>
      <c r="G746" s="31" t="s">
        <v>92</v>
      </c>
      <c r="I746" s="2" t="str">
        <f>VLOOKUP(C746,[1]Sheet1!$C:$G,5,FALSE)</f>
        <v>POA</v>
      </c>
      <c r="J746" s="33"/>
    </row>
    <row r="747" spans="1:10" x14ac:dyDescent="0.3">
      <c r="A747" s="20" t="s">
        <v>401</v>
      </c>
      <c r="B747" s="8" t="s">
        <v>509</v>
      </c>
      <c r="C747" s="8" t="s">
        <v>521</v>
      </c>
      <c r="D747" s="6">
        <v>5056003706796</v>
      </c>
      <c r="E747" s="9" t="s">
        <v>522</v>
      </c>
      <c r="F747" s="9" t="s">
        <v>421</v>
      </c>
      <c r="G747" s="31">
        <v>54.484500000000004</v>
      </c>
      <c r="I747" s="2">
        <f>VLOOKUP(C747,[1]Sheet1!$C:$G,5,FALSE)</f>
        <v>51.89</v>
      </c>
      <c r="J747" s="33">
        <f t="shared" si="12"/>
        <v>5.0000000000000065E-2</v>
      </c>
    </row>
    <row r="748" spans="1:10" x14ac:dyDescent="0.3">
      <c r="A748" s="20" t="s">
        <v>401</v>
      </c>
      <c r="B748" s="8" t="s">
        <v>509</v>
      </c>
      <c r="C748" s="8" t="s">
        <v>523</v>
      </c>
      <c r="D748" s="6">
        <v>5056003705324</v>
      </c>
      <c r="E748" s="9" t="s">
        <v>524</v>
      </c>
      <c r="F748" s="9" t="s">
        <v>421</v>
      </c>
      <c r="G748" s="31">
        <v>53.192999999999998</v>
      </c>
      <c r="I748" s="2">
        <f>VLOOKUP(C748,[1]Sheet1!$C:$G,5,FALSE)</f>
        <v>50.66</v>
      </c>
      <c r="J748" s="33">
        <f t="shared" si="12"/>
        <v>5.0000000000000031E-2</v>
      </c>
    </row>
    <row r="749" spans="1:10" x14ac:dyDescent="0.3">
      <c r="A749" s="20" t="s">
        <v>401</v>
      </c>
      <c r="B749" s="8" t="s">
        <v>509</v>
      </c>
      <c r="C749" s="8" t="s">
        <v>525</v>
      </c>
      <c r="D749" s="6">
        <v>5056003705362</v>
      </c>
      <c r="E749" s="9" t="s">
        <v>526</v>
      </c>
      <c r="F749" s="9" t="s">
        <v>421</v>
      </c>
      <c r="G749" s="31">
        <v>22.701000000000001</v>
      </c>
      <c r="I749" s="2">
        <f>VLOOKUP(C749,[1]Sheet1!$C:$G,5,FALSE)</f>
        <v>21.62</v>
      </c>
      <c r="J749" s="33">
        <f t="shared" si="12"/>
        <v>4.9999999999999975E-2</v>
      </c>
    </row>
    <row r="750" spans="1:10" x14ac:dyDescent="0.3">
      <c r="A750" s="20" t="s">
        <v>401</v>
      </c>
      <c r="B750" s="8" t="s">
        <v>509</v>
      </c>
      <c r="C750" s="8" t="s">
        <v>527</v>
      </c>
      <c r="D750" s="6">
        <v>5056003719369</v>
      </c>
      <c r="E750" s="9" t="s">
        <v>528</v>
      </c>
      <c r="F750" s="9" t="s">
        <v>421</v>
      </c>
      <c r="G750" s="31" t="s">
        <v>92</v>
      </c>
      <c r="I750" s="2" t="str">
        <f>VLOOKUP(C750,[1]Sheet1!$C:$G,5,FALSE)</f>
        <v>POA</v>
      </c>
      <c r="J750" s="33"/>
    </row>
    <row r="751" spans="1:10" x14ac:dyDescent="0.3">
      <c r="A751" s="20" t="s">
        <v>401</v>
      </c>
      <c r="B751" s="8" t="s">
        <v>418</v>
      </c>
      <c r="C751" s="8" t="s">
        <v>431</v>
      </c>
      <c r="D751" s="6">
        <v>5056003705430</v>
      </c>
      <c r="E751" s="9" t="s">
        <v>1912</v>
      </c>
      <c r="F751" s="9" t="s">
        <v>421</v>
      </c>
      <c r="G751" s="31">
        <v>476.73149999999998</v>
      </c>
      <c r="I751" s="2">
        <f>VLOOKUP(C751,[1]Sheet1!$C:$G,5,FALSE)</f>
        <v>454.03</v>
      </c>
      <c r="J751" s="33">
        <f t="shared" si="12"/>
        <v>5.0000000000000024E-2</v>
      </c>
    </row>
    <row r="752" spans="1:10" x14ac:dyDescent="0.3">
      <c r="A752" s="20" t="s">
        <v>401</v>
      </c>
      <c r="B752" s="8" t="s">
        <v>418</v>
      </c>
      <c r="C752" s="8" t="s">
        <v>432</v>
      </c>
      <c r="D752" s="6">
        <v>5056003706109</v>
      </c>
      <c r="E752" s="9" t="s">
        <v>1913</v>
      </c>
      <c r="F752" s="9" t="s">
        <v>421</v>
      </c>
      <c r="G752" s="31">
        <v>95.350500000000011</v>
      </c>
      <c r="I752" s="2">
        <f>VLOOKUP(C752,[1]Sheet1!$C:$G,5,FALSE)</f>
        <v>90.81</v>
      </c>
      <c r="J752" s="33">
        <f t="shared" si="12"/>
        <v>5.0000000000000093E-2</v>
      </c>
    </row>
    <row r="753" spans="1:10" x14ac:dyDescent="0.3">
      <c r="A753" s="20" t="s">
        <v>401</v>
      </c>
      <c r="B753" s="8" t="s">
        <v>418</v>
      </c>
      <c r="C753" s="8" t="s">
        <v>1911</v>
      </c>
      <c r="D753" s="6">
        <v>5056003778168</v>
      </c>
      <c r="E753" s="9" t="s">
        <v>1914</v>
      </c>
      <c r="F753" s="9" t="s">
        <v>421</v>
      </c>
      <c r="G753" s="31">
        <v>352.84200000000004</v>
      </c>
      <c r="I753" s="2">
        <f>VLOOKUP(C753,[1]Sheet1!$C:$G,5,FALSE)</f>
        <v>336.04</v>
      </c>
      <c r="J753" s="33">
        <f t="shared" si="12"/>
        <v>5.0000000000000058E-2</v>
      </c>
    </row>
    <row r="754" spans="1:10" x14ac:dyDescent="0.3">
      <c r="A754" s="20" t="s">
        <v>401</v>
      </c>
      <c r="B754" s="8" t="s">
        <v>418</v>
      </c>
      <c r="C754" s="8" t="s">
        <v>433</v>
      </c>
      <c r="D754" s="6">
        <v>5056003704983</v>
      </c>
      <c r="E754" s="9" t="s">
        <v>434</v>
      </c>
      <c r="F754" s="9" t="s">
        <v>421</v>
      </c>
      <c r="G754" s="31" t="s">
        <v>92</v>
      </c>
      <c r="I754" s="2" t="str">
        <f>VLOOKUP(C754,[1]Sheet1!$C:$G,5,FALSE)</f>
        <v>POA</v>
      </c>
      <c r="J754" s="33"/>
    </row>
    <row r="755" spans="1:10" x14ac:dyDescent="0.3">
      <c r="A755" s="20" t="s">
        <v>401</v>
      </c>
      <c r="B755" s="8" t="s">
        <v>509</v>
      </c>
      <c r="C755" s="8" t="s">
        <v>529</v>
      </c>
      <c r="D755" s="6">
        <v>5056003719352</v>
      </c>
      <c r="E755" s="9" t="s">
        <v>150</v>
      </c>
      <c r="F755" s="9" t="s">
        <v>421</v>
      </c>
      <c r="G755" s="31" t="s">
        <v>92</v>
      </c>
      <c r="I755" s="2" t="str">
        <f>VLOOKUP(C755,[1]Sheet1!$C:$G,5,FALSE)</f>
        <v>POA</v>
      </c>
      <c r="J755" s="33"/>
    </row>
    <row r="756" spans="1:10" x14ac:dyDescent="0.3">
      <c r="A756" s="20" t="s">
        <v>401</v>
      </c>
      <c r="B756" s="8" t="s">
        <v>509</v>
      </c>
      <c r="C756" s="8" t="s">
        <v>530</v>
      </c>
      <c r="D756" s="6">
        <v>5056003705041</v>
      </c>
      <c r="E756" s="9" t="s">
        <v>531</v>
      </c>
      <c r="F756" s="9" t="s">
        <v>421</v>
      </c>
      <c r="G756" s="31">
        <v>97.653000000000006</v>
      </c>
      <c r="I756" s="2">
        <f>VLOOKUP(C756,[1]Sheet1!$C:$G,5,FALSE)</f>
        <v>22.71</v>
      </c>
      <c r="J756" s="33">
        <f t="shared" si="12"/>
        <v>3.3000000000000003</v>
      </c>
    </row>
    <row r="757" spans="1:10" x14ac:dyDescent="0.3">
      <c r="A757" s="20" t="s">
        <v>401</v>
      </c>
      <c r="B757" s="8" t="s">
        <v>418</v>
      </c>
      <c r="C757" s="8" t="s">
        <v>435</v>
      </c>
      <c r="D757" s="6">
        <v>5056003705225</v>
      </c>
      <c r="E757" s="9" t="s">
        <v>436</v>
      </c>
      <c r="F757" s="9" t="s">
        <v>437</v>
      </c>
      <c r="G757" s="31">
        <v>326.8965</v>
      </c>
      <c r="I757" s="2">
        <f>VLOOKUP(C757,[1]Sheet1!$C:$G,5,FALSE)</f>
        <v>311.33</v>
      </c>
      <c r="J757" s="33">
        <f t="shared" si="12"/>
        <v>5.0000000000000065E-2</v>
      </c>
    </row>
    <row r="758" spans="1:10" x14ac:dyDescent="0.3">
      <c r="A758" s="20" t="s">
        <v>401</v>
      </c>
      <c r="B758" s="8" t="s">
        <v>418</v>
      </c>
      <c r="C758" s="8" t="s">
        <v>438</v>
      </c>
      <c r="D758" s="6">
        <v>5056003705232</v>
      </c>
      <c r="E758" s="9" t="s">
        <v>439</v>
      </c>
      <c r="F758" s="9" t="s">
        <v>407</v>
      </c>
      <c r="G758" s="31">
        <v>326.8965</v>
      </c>
      <c r="I758" s="2">
        <f>VLOOKUP(C758,[1]Sheet1!$C:$G,5,FALSE)</f>
        <v>311.33</v>
      </c>
      <c r="J758" s="33">
        <f t="shared" si="12"/>
        <v>5.0000000000000065E-2</v>
      </c>
    </row>
    <row r="759" spans="1:10" x14ac:dyDescent="0.3">
      <c r="A759" s="20" t="s">
        <v>401</v>
      </c>
      <c r="B759" s="8" t="s">
        <v>418</v>
      </c>
      <c r="C759" s="8" t="s">
        <v>440</v>
      </c>
      <c r="D759" s="6">
        <v>5056003716399</v>
      </c>
      <c r="E759" s="41" t="s">
        <v>439</v>
      </c>
      <c r="F759" s="9" t="s">
        <v>441</v>
      </c>
      <c r="G759" s="31">
        <v>311.32499999999999</v>
      </c>
      <c r="I759" s="2">
        <f>VLOOKUP(C759,[1]Sheet1!$C:$G,5,FALSE)</f>
        <v>296.5</v>
      </c>
      <c r="J759" s="33">
        <f t="shared" si="12"/>
        <v>4.9999999999999961E-2</v>
      </c>
    </row>
    <row r="760" spans="1:10" x14ac:dyDescent="0.3">
      <c r="A760" s="20" t="s">
        <v>401</v>
      </c>
      <c r="B760" s="8" t="s">
        <v>418</v>
      </c>
      <c r="C760" s="8" t="s">
        <v>442</v>
      </c>
      <c r="D760" s="6">
        <v>5056003704990</v>
      </c>
      <c r="E760" s="9" t="s">
        <v>443</v>
      </c>
      <c r="F760" s="9" t="s">
        <v>444</v>
      </c>
      <c r="G760" s="31">
        <v>30.355000000000004</v>
      </c>
      <c r="I760" s="2">
        <f>VLOOKUP(C760,[1]Sheet1!$C:$G,5,FALSE)</f>
        <v>23.35</v>
      </c>
      <c r="J760" s="33">
        <f t="shared" si="12"/>
        <v>0.3000000000000001</v>
      </c>
    </row>
    <row r="761" spans="1:10" x14ac:dyDescent="0.3">
      <c r="A761" s="20" t="s">
        <v>401</v>
      </c>
      <c r="B761" s="8" t="s">
        <v>418</v>
      </c>
      <c r="C761" s="8" t="s">
        <v>445</v>
      </c>
      <c r="D761" s="6">
        <v>5056003706062</v>
      </c>
      <c r="E761" s="9" t="s">
        <v>446</v>
      </c>
      <c r="F761" s="9" t="s">
        <v>444</v>
      </c>
      <c r="G761" s="31">
        <v>83.076000000000008</v>
      </c>
      <c r="I761" s="2">
        <f>VLOOKUP(C761,[1]Sheet1!$C:$G,5,FALSE)</f>
        <v>79.12</v>
      </c>
      <c r="J761" s="33">
        <f t="shared" si="12"/>
        <v>5.0000000000000037E-2</v>
      </c>
    </row>
    <row r="762" spans="1:10" x14ac:dyDescent="0.3">
      <c r="A762" s="20" t="s">
        <v>401</v>
      </c>
      <c r="B762" s="8" t="s">
        <v>418</v>
      </c>
      <c r="C762" s="8" t="s">
        <v>447</v>
      </c>
      <c r="D762" s="6">
        <v>5056003772500</v>
      </c>
      <c r="E762" s="9" t="s">
        <v>1917</v>
      </c>
      <c r="F762" s="9" t="s">
        <v>444</v>
      </c>
      <c r="G762" s="31">
        <v>55.576500000000003</v>
      </c>
      <c r="I762" s="2">
        <f>VLOOKUP(C762,[1]Sheet1!$C:$G,5,FALSE)</f>
        <v>52.93</v>
      </c>
      <c r="J762" s="33">
        <f t="shared" si="12"/>
        <v>5.0000000000000058E-2</v>
      </c>
    </row>
    <row r="763" spans="1:10" x14ac:dyDescent="0.3">
      <c r="A763" s="20" t="s">
        <v>401</v>
      </c>
      <c r="B763" s="8" t="s">
        <v>418</v>
      </c>
      <c r="C763" s="8" t="s">
        <v>448</v>
      </c>
      <c r="D763" s="6">
        <v>5056003705003</v>
      </c>
      <c r="E763" s="9" t="s">
        <v>449</v>
      </c>
      <c r="F763" s="9" t="s">
        <v>444</v>
      </c>
      <c r="G763" s="31">
        <v>32.183999999999997</v>
      </c>
      <c r="I763" s="2">
        <f>VLOOKUP(C763,[1]Sheet1!$C:$G,5,FALSE)</f>
        <v>4.47</v>
      </c>
      <c r="J763" s="33">
        <f t="shared" si="12"/>
        <v>6.2</v>
      </c>
    </row>
    <row r="764" spans="1:10" x14ac:dyDescent="0.3">
      <c r="A764" s="20" t="s">
        <v>401</v>
      </c>
      <c r="B764" s="8" t="s">
        <v>509</v>
      </c>
      <c r="C764" s="8" t="s">
        <v>532</v>
      </c>
      <c r="D764" s="6">
        <v>5056003705621</v>
      </c>
      <c r="E764" s="9" t="s">
        <v>533</v>
      </c>
      <c r="F764" s="9" t="s">
        <v>407</v>
      </c>
      <c r="G764" s="31">
        <v>108.42</v>
      </c>
      <c r="I764" s="2">
        <f>VLOOKUP(C764,[1]Sheet1!$C:$G,5,FALSE)</f>
        <v>55.6</v>
      </c>
      <c r="J764" s="33">
        <f t="shared" si="12"/>
        <v>0.95</v>
      </c>
    </row>
    <row r="765" spans="1:10" x14ac:dyDescent="0.3">
      <c r="A765" s="20" t="s">
        <v>401</v>
      </c>
      <c r="B765" s="8" t="s">
        <v>509</v>
      </c>
      <c r="C765" s="8" t="s">
        <v>534</v>
      </c>
      <c r="D765" s="6">
        <v>5056003708219</v>
      </c>
      <c r="E765" s="9" t="s">
        <v>535</v>
      </c>
      <c r="F765" s="9" t="s">
        <v>407</v>
      </c>
      <c r="G765" s="31">
        <v>155.68</v>
      </c>
      <c r="I765" s="2">
        <f>VLOOKUP(C765,[1]Sheet1!$C:$G,5,FALSE)</f>
        <v>55.6</v>
      </c>
      <c r="J765" s="33">
        <f t="shared" si="12"/>
        <v>1.8000000000000003</v>
      </c>
    </row>
    <row r="766" spans="1:10" x14ac:dyDescent="0.3">
      <c r="A766" s="20" t="s">
        <v>401</v>
      </c>
      <c r="B766" s="8" t="s">
        <v>509</v>
      </c>
      <c r="C766" s="8" t="s">
        <v>536</v>
      </c>
      <c r="D766" s="6">
        <v>5056003719345</v>
      </c>
      <c r="E766" s="9" t="s">
        <v>537</v>
      </c>
      <c r="F766" s="9" t="s">
        <v>444</v>
      </c>
      <c r="G766" s="31" t="s">
        <v>92</v>
      </c>
      <c r="I766" s="2" t="str">
        <f>VLOOKUP(C766,[1]Sheet1!$C:$G,5,FALSE)</f>
        <v>POA</v>
      </c>
      <c r="J766" s="33"/>
    </row>
    <row r="767" spans="1:10" x14ac:dyDescent="0.3">
      <c r="A767" s="20" t="s">
        <v>401</v>
      </c>
      <c r="B767" s="8" t="s">
        <v>488</v>
      </c>
      <c r="C767" s="8" t="s">
        <v>489</v>
      </c>
      <c r="D767" s="6">
        <v>5056003719338</v>
      </c>
      <c r="E767" s="9" t="s">
        <v>490</v>
      </c>
      <c r="F767" s="9" t="s">
        <v>444</v>
      </c>
      <c r="G767" s="31" t="s">
        <v>92</v>
      </c>
      <c r="I767" s="2" t="str">
        <f>VLOOKUP(C767,[1]Sheet1!$C:$G,5,FALSE)</f>
        <v>POA</v>
      </c>
      <c r="J767" s="33"/>
    </row>
    <row r="768" spans="1:10" x14ac:dyDescent="0.3">
      <c r="A768" s="20" t="s">
        <v>401</v>
      </c>
      <c r="B768" s="8" t="s">
        <v>488</v>
      </c>
      <c r="C768" s="8" t="s">
        <v>491</v>
      </c>
      <c r="D768" s="6">
        <v>5056003719314</v>
      </c>
      <c r="E768" s="9" t="s">
        <v>492</v>
      </c>
      <c r="F768" s="9" t="s">
        <v>444</v>
      </c>
      <c r="G768" s="31" t="s">
        <v>92</v>
      </c>
      <c r="I768" s="2" t="str">
        <f>VLOOKUP(C768,[1]Sheet1!$C:$G,5,FALSE)</f>
        <v>POA</v>
      </c>
      <c r="J768" s="33"/>
    </row>
    <row r="769" spans="1:10" x14ac:dyDescent="0.3">
      <c r="A769" s="20" t="s">
        <v>401</v>
      </c>
      <c r="B769" s="8" t="s">
        <v>418</v>
      </c>
      <c r="C769" s="8" t="s">
        <v>450</v>
      </c>
      <c r="D769" s="6">
        <v>5056003705010</v>
      </c>
      <c r="E769" s="9" t="s">
        <v>451</v>
      </c>
      <c r="F769" s="9" t="s">
        <v>444</v>
      </c>
      <c r="G769" s="31">
        <v>38.826000000000001</v>
      </c>
      <c r="I769" s="2">
        <f>VLOOKUP(C769,[1]Sheet1!$C:$G,5,FALSE)</f>
        <v>21.57</v>
      </c>
      <c r="J769" s="33">
        <f t="shared" si="12"/>
        <v>0.8</v>
      </c>
    </row>
    <row r="770" spans="1:10" x14ac:dyDescent="0.3">
      <c r="A770" s="20" t="s">
        <v>401</v>
      </c>
      <c r="B770" s="8" t="s">
        <v>488</v>
      </c>
      <c r="C770" s="8" t="s">
        <v>493</v>
      </c>
      <c r="D770" s="6">
        <v>5056003719284</v>
      </c>
      <c r="E770" s="9" t="s">
        <v>494</v>
      </c>
      <c r="F770" s="9" t="s">
        <v>444</v>
      </c>
      <c r="G770" s="31" t="s">
        <v>92</v>
      </c>
      <c r="I770" s="2" t="str">
        <f>VLOOKUP(C770,[1]Sheet1!$C:$G,5,FALSE)</f>
        <v>POA</v>
      </c>
      <c r="J770" s="33"/>
    </row>
    <row r="771" spans="1:10" x14ac:dyDescent="0.3">
      <c r="A771" s="20" t="s">
        <v>401</v>
      </c>
      <c r="B771" s="8" t="s">
        <v>488</v>
      </c>
      <c r="C771" s="8" t="s">
        <v>495</v>
      </c>
      <c r="D771" s="6">
        <v>5056003719277</v>
      </c>
      <c r="E771" s="9" t="s">
        <v>496</v>
      </c>
      <c r="F771" s="9" t="s">
        <v>444</v>
      </c>
      <c r="G771" s="31" t="s">
        <v>92</v>
      </c>
      <c r="I771" s="2" t="str">
        <f>VLOOKUP(C771,[1]Sheet1!$C:$G,5,FALSE)</f>
        <v>POA</v>
      </c>
      <c r="J771" s="33"/>
    </row>
    <row r="772" spans="1:10" x14ac:dyDescent="0.3">
      <c r="A772" s="20" t="s">
        <v>401</v>
      </c>
      <c r="B772" s="8" t="s">
        <v>509</v>
      </c>
      <c r="C772" s="8" t="s">
        <v>538</v>
      </c>
      <c r="D772" s="6">
        <v>5056003719246</v>
      </c>
      <c r="E772" s="9" t="s">
        <v>539</v>
      </c>
      <c r="F772" s="9" t="s">
        <v>444</v>
      </c>
      <c r="G772" s="30" t="s">
        <v>92</v>
      </c>
      <c r="I772" s="2">
        <f>VLOOKUP(C772,[1]Sheet1!$C:$G,5,FALSE)</f>
        <v>18.53</v>
      </c>
      <c r="J772" s="33"/>
    </row>
    <row r="773" spans="1:10" x14ac:dyDescent="0.3">
      <c r="A773" s="20" t="s">
        <v>401</v>
      </c>
      <c r="B773" s="8" t="s">
        <v>509</v>
      </c>
      <c r="C773" s="8" t="s">
        <v>540</v>
      </c>
      <c r="D773" s="6">
        <v>5056003706857</v>
      </c>
      <c r="E773" s="9" t="s">
        <v>541</v>
      </c>
      <c r="F773" s="9" t="s">
        <v>444</v>
      </c>
      <c r="G773" s="31">
        <v>93.105000000000004</v>
      </c>
      <c r="I773" s="2">
        <f>VLOOKUP(C773,[1]Sheet1!$C:$G,5,FALSE)</f>
        <v>62.07</v>
      </c>
      <c r="J773" s="33">
        <f t="shared" si="12"/>
        <v>0.50000000000000011</v>
      </c>
    </row>
    <row r="774" spans="1:10" x14ac:dyDescent="0.3">
      <c r="A774" s="20" t="s">
        <v>401</v>
      </c>
      <c r="B774" s="8" t="s">
        <v>488</v>
      </c>
      <c r="C774" s="8" t="s">
        <v>497</v>
      </c>
      <c r="D774" s="6">
        <v>5056003719239</v>
      </c>
      <c r="E774" s="9" t="s">
        <v>498</v>
      </c>
      <c r="F774" s="9" t="s">
        <v>444</v>
      </c>
      <c r="G774" s="31" t="s">
        <v>92</v>
      </c>
      <c r="I774" s="2" t="str">
        <f>VLOOKUP(C774,[1]Sheet1!$C:$G,5,FALSE)</f>
        <v>POA</v>
      </c>
      <c r="J774" s="33"/>
    </row>
    <row r="775" spans="1:10" x14ac:dyDescent="0.3">
      <c r="A775" s="20" t="s">
        <v>401</v>
      </c>
      <c r="B775" s="8" t="s">
        <v>488</v>
      </c>
      <c r="C775" s="8" t="s">
        <v>499</v>
      </c>
      <c r="D775" s="6">
        <v>5056003719222</v>
      </c>
      <c r="E775" s="9" t="s">
        <v>500</v>
      </c>
      <c r="F775" s="9" t="s">
        <v>444</v>
      </c>
      <c r="G775" s="31" t="s">
        <v>92</v>
      </c>
      <c r="I775" s="2" t="str">
        <f>VLOOKUP(C775,[1]Sheet1!$C:$G,5,FALSE)</f>
        <v>POA</v>
      </c>
      <c r="J775" s="33"/>
    </row>
    <row r="776" spans="1:10" x14ac:dyDescent="0.3">
      <c r="A776" s="20" t="s">
        <v>401</v>
      </c>
      <c r="B776" s="8" t="s">
        <v>488</v>
      </c>
      <c r="C776" s="8" t="s">
        <v>501</v>
      </c>
      <c r="D776" s="6">
        <v>5056003717044</v>
      </c>
      <c r="E776" s="9" t="s">
        <v>502</v>
      </c>
      <c r="F776" s="9" t="s">
        <v>444</v>
      </c>
      <c r="G776" s="31" t="s">
        <v>92</v>
      </c>
      <c r="I776" s="2" t="str">
        <f>VLOOKUP(C776,[1]Sheet1!$C:$G,5,FALSE)</f>
        <v>POA</v>
      </c>
      <c r="J776" s="33"/>
    </row>
    <row r="777" spans="1:10" x14ac:dyDescent="0.3">
      <c r="A777" s="20" t="s">
        <v>401</v>
      </c>
      <c r="B777" s="8" t="s">
        <v>488</v>
      </c>
      <c r="C777" s="8" t="s">
        <v>503</v>
      </c>
      <c r="D777" s="6">
        <v>5056003705744</v>
      </c>
      <c r="E777" s="9" t="s">
        <v>504</v>
      </c>
      <c r="F777" s="9" t="s">
        <v>444</v>
      </c>
      <c r="G777" s="31">
        <v>11.3505</v>
      </c>
      <c r="I777" s="2">
        <f>VLOOKUP(C777,[1]Sheet1!$C:$G,5,FALSE)</f>
        <v>10.81</v>
      </c>
      <c r="J777" s="33">
        <f t="shared" si="12"/>
        <v>4.9999999999999975E-2</v>
      </c>
    </row>
    <row r="778" spans="1:10" x14ac:dyDescent="0.3">
      <c r="A778" s="20" t="s">
        <v>401</v>
      </c>
      <c r="B778" s="8" t="s">
        <v>488</v>
      </c>
      <c r="C778" s="8" t="s">
        <v>505</v>
      </c>
      <c r="D778" s="6">
        <v>5056003719208</v>
      </c>
      <c r="E778" s="9" t="s">
        <v>506</v>
      </c>
      <c r="F778" s="9" t="s">
        <v>444</v>
      </c>
      <c r="G778" s="31" t="s">
        <v>92</v>
      </c>
      <c r="I778" s="2" t="str">
        <f>VLOOKUP(C778,[1]Sheet1!$C:$G,5,FALSE)</f>
        <v>POA</v>
      </c>
      <c r="J778" s="33"/>
    </row>
    <row r="779" spans="1:10" x14ac:dyDescent="0.3">
      <c r="A779" s="20" t="s">
        <v>401</v>
      </c>
      <c r="B779" s="8" t="s">
        <v>509</v>
      </c>
      <c r="C779" s="8" t="s">
        <v>542</v>
      </c>
      <c r="D779" s="6">
        <v>5056003705690</v>
      </c>
      <c r="E779" s="9" t="s">
        <v>543</v>
      </c>
      <c r="F779" s="9" t="s">
        <v>444</v>
      </c>
      <c r="G779" s="31">
        <v>239.988</v>
      </c>
      <c r="I779" s="2">
        <f>VLOOKUP(C779,[1]Sheet1!$C:$G,5,FALSE)</f>
        <v>228.56</v>
      </c>
      <c r="J779" s="33">
        <f t="shared" si="12"/>
        <v>4.9999999999999989E-2</v>
      </c>
    </row>
    <row r="780" spans="1:10" x14ac:dyDescent="0.3">
      <c r="A780" s="20" t="s">
        <v>401</v>
      </c>
      <c r="B780" s="8" t="s">
        <v>402</v>
      </c>
      <c r="C780" s="8" t="s">
        <v>408</v>
      </c>
      <c r="D780" s="6">
        <v>5056003719192</v>
      </c>
      <c r="E780" s="9" t="s">
        <v>409</v>
      </c>
      <c r="F780" s="9" t="s">
        <v>410</v>
      </c>
      <c r="G780" s="31" t="s">
        <v>92</v>
      </c>
      <c r="I780" s="2" t="str">
        <f>VLOOKUP(C780,[1]Sheet1!$C:$G,5,FALSE)</f>
        <v>POA</v>
      </c>
      <c r="J780" s="33"/>
    </row>
    <row r="781" spans="1:10" x14ac:dyDescent="0.3">
      <c r="A781" s="20" t="s">
        <v>401</v>
      </c>
      <c r="B781" s="8" t="s">
        <v>402</v>
      </c>
      <c r="C781" s="8" t="s">
        <v>411</v>
      </c>
      <c r="D781" s="6">
        <v>5056003777277</v>
      </c>
      <c r="E781" s="9" t="s">
        <v>412</v>
      </c>
      <c r="F781" s="9" t="s">
        <v>410</v>
      </c>
      <c r="G781" s="31" t="s">
        <v>92</v>
      </c>
      <c r="I781" s="2" t="str">
        <f>VLOOKUP(C781,[1]Sheet1!$C:$G,5,FALSE)</f>
        <v>POA</v>
      </c>
      <c r="J781" s="33"/>
    </row>
    <row r="782" spans="1:10" x14ac:dyDescent="0.3">
      <c r="A782" s="20" t="s">
        <v>401</v>
      </c>
      <c r="B782" s="8" t="s">
        <v>509</v>
      </c>
      <c r="C782" s="8" t="s">
        <v>544</v>
      </c>
      <c r="D782" s="6">
        <v>5056003706130</v>
      </c>
      <c r="E782" s="9" t="s">
        <v>545</v>
      </c>
      <c r="F782" s="9" t="s">
        <v>444</v>
      </c>
      <c r="G782" s="31" t="s">
        <v>92</v>
      </c>
      <c r="I782" s="2" t="str">
        <f>VLOOKUP(C782,[1]Sheet1!$C:$G,5,FALSE)</f>
        <v>POA</v>
      </c>
      <c r="J782" s="33"/>
    </row>
    <row r="783" spans="1:10" x14ac:dyDescent="0.3">
      <c r="A783" s="20" t="s">
        <v>401</v>
      </c>
      <c r="B783" s="8" t="s">
        <v>402</v>
      </c>
      <c r="C783" s="8" t="s">
        <v>413</v>
      </c>
      <c r="D783" s="6">
        <v>5056003719178</v>
      </c>
      <c r="E783" s="9" t="s">
        <v>414</v>
      </c>
      <c r="F783" s="9" t="s">
        <v>415</v>
      </c>
      <c r="G783" s="31" t="s">
        <v>92</v>
      </c>
      <c r="I783" s="2" t="str">
        <f>VLOOKUP(C783,[1]Sheet1!$C:$G,5,FALSE)</f>
        <v>POA</v>
      </c>
      <c r="J783" s="33"/>
    </row>
    <row r="784" spans="1:10" x14ac:dyDescent="0.3">
      <c r="A784" s="20" t="s">
        <v>401</v>
      </c>
      <c r="B784" s="8" t="s">
        <v>402</v>
      </c>
      <c r="C784" s="8" t="s">
        <v>416</v>
      </c>
      <c r="D784" s="6">
        <v>5056003777284</v>
      </c>
      <c r="E784" s="9" t="s">
        <v>417</v>
      </c>
      <c r="F784" s="9" t="s">
        <v>415</v>
      </c>
      <c r="G784" s="31" t="s">
        <v>92</v>
      </c>
      <c r="I784" s="2" t="str">
        <f>VLOOKUP(C784,[1]Sheet1!$C:$G,5,FALSE)</f>
        <v>POA</v>
      </c>
      <c r="J784" s="33"/>
    </row>
    <row r="785" spans="1:10" x14ac:dyDescent="0.3">
      <c r="A785" s="20" t="s">
        <v>401</v>
      </c>
      <c r="B785" s="8" t="s">
        <v>418</v>
      </c>
      <c r="C785" s="8" t="s">
        <v>452</v>
      </c>
      <c r="D785" s="6">
        <v>5056003705188</v>
      </c>
      <c r="E785" s="9" t="s">
        <v>453</v>
      </c>
      <c r="F785" s="9" t="s">
        <v>444</v>
      </c>
      <c r="G785" s="31">
        <v>104.66550000000001</v>
      </c>
      <c r="I785" s="2">
        <f>VLOOKUP(C785,[1]Sheet1!$C:$G,5,FALSE)</f>
        <v>77.53</v>
      </c>
      <c r="J785" s="33">
        <f t="shared" si="12"/>
        <v>0.35000000000000009</v>
      </c>
    </row>
    <row r="786" spans="1:10" x14ac:dyDescent="0.3">
      <c r="A786" s="20" t="s">
        <v>401</v>
      </c>
      <c r="B786" s="8" t="s">
        <v>509</v>
      </c>
      <c r="C786" s="8" t="s">
        <v>546</v>
      </c>
      <c r="D786" s="6">
        <v>5056003707335</v>
      </c>
      <c r="E786" s="9" t="s">
        <v>547</v>
      </c>
      <c r="F786" s="9" t="s">
        <v>444</v>
      </c>
      <c r="G786" s="31">
        <v>158.91749999999999</v>
      </c>
      <c r="I786" s="2">
        <f>VLOOKUP(C786,[1]Sheet1!$C:$G,5,FALSE)</f>
        <v>151.35</v>
      </c>
      <c r="J786" s="33">
        <f t="shared" si="12"/>
        <v>4.9999999999999975E-2</v>
      </c>
    </row>
    <row r="787" spans="1:10" x14ac:dyDescent="0.3">
      <c r="A787" s="20" t="s">
        <v>401</v>
      </c>
      <c r="B787" s="8" t="s">
        <v>509</v>
      </c>
      <c r="C787" s="8" t="s">
        <v>548</v>
      </c>
      <c r="D787" s="6">
        <v>5056003705843</v>
      </c>
      <c r="E787" s="9" t="s">
        <v>549</v>
      </c>
      <c r="F787" s="9" t="s">
        <v>421</v>
      </c>
      <c r="G787" s="31" t="s">
        <v>92</v>
      </c>
      <c r="I787" s="2" t="str">
        <f>VLOOKUP(C787,[1]Sheet1!$C:$G,5,FALSE)</f>
        <v>POA</v>
      </c>
      <c r="J787" s="33"/>
    </row>
    <row r="788" spans="1:10" x14ac:dyDescent="0.3">
      <c r="A788" s="20" t="s">
        <v>401</v>
      </c>
      <c r="B788" s="8" t="s">
        <v>509</v>
      </c>
      <c r="C788" s="8" t="s">
        <v>550</v>
      </c>
      <c r="D788" s="6">
        <v>5056003707953</v>
      </c>
      <c r="E788" s="9" t="s">
        <v>551</v>
      </c>
      <c r="F788" s="9" t="s">
        <v>444</v>
      </c>
      <c r="G788" s="31" t="s">
        <v>92</v>
      </c>
      <c r="I788" s="2" t="str">
        <f>VLOOKUP(C788,[1]Sheet1!$C:$G,5,FALSE)</f>
        <v>POA</v>
      </c>
      <c r="J788" s="33"/>
    </row>
    <row r="789" spans="1:10" x14ac:dyDescent="0.3">
      <c r="A789" s="20" t="s">
        <v>401</v>
      </c>
      <c r="B789" s="8" t="s">
        <v>488</v>
      </c>
      <c r="C789" s="8" t="s">
        <v>507</v>
      </c>
      <c r="D789" s="6">
        <v>5056003706116</v>
      </c>
      <c r="E789" s="9" t="s">
        <v>508</v>
      </c>
      <c r="F789" s="9" t="s">
        <v>444</v>
      </c>
      <c r="G789" s="30" t="s">
        <v>92</v>
      </c>
      <c r="I789" s="2">
        <f>VLOOKUP(C789,[1]Sheet1!$C:$G,5,FALSE)</f>
        <v>15.44</v>
      </c>
      <c r="J789" s="33"/>
    </row>
    <row r="790" spans="1:10" x14ac:dyDescent="0.3">
      <c r="A790" s="20" t="s">
        <v>401</v>
      </c>
      <c r="B790" s="8" t="s">
        <v>418</v>
      </c>
      <c r="C790" s="8" t="s">
        <v>454</v>
      </c>
      <c r="D790" s="6">
        <v>5056003706581</v>
      </c>
      <c r="E790" s="9" t="s">
        <v>455</v>
      </c>
      <c r="F790" s="9" t="s">
        <v>421</v>
      </c>
      <c r="G790" s="31" t="s">
        <v>92</v>
      </c>
      <c r="I790" s="2" t="str">
        <f>VLOOKUP(C790,[1]Sheet1!$C:$G,5,FALSE)</f>
        <v>POA</v>
      </c>
      <c r="J790" s="33"/>
    </row>
    <row r="791" spans="1:10" x14ac:dyDescent="0.3">
      <c r="A791" s="20" t="s">
        <v>401</v>
      </c>
      <c r="B791" s="8" t="s">
        <v>509</v>
      </c>
      <c r="C791" s="8" t="s">
        <v>552</v>
      </c>
      <c r="D791" s="6">
        <v>5056003719154</v>
      </c>
      <c r="E791" s="9" t="s">
        <v>553</v>
      </c>
      <c r="F791" s="9" t="s">
        <v>441</v>
      </c>
      <c r="G791" s="31" t="s">
        <v>92</v>
      </c>
      <c r="I791" s="2" t="str">
        <f>VLOOKUP(C791,[1]Sheet1!$C:$G,5,FALSE)</f>
        <v>POA</v>
      </c>
      <c r="J791" s="33"/>
    </row>
    <row r="792" spans="1:10" x14ac:dyDescent="0.3">
      <c r="A792" s="20" t="s">
        <v>401</v>
      </c>
      <c r="B792" s="8" t="s">
        <v>418</v>
      </c>
      <c r="C792" s="8" t="s">
        <v>456</v>
      </c>
      <c r="D792" s="6">
        <v>5056003719147</v>
      </c>
      <c r="E792" s="9" t="s">
        <v>457</v>
      </c>
      <c r="F792" s="9" t="s">
        <v>444</v>
      </c>
      <c r="G792" s="31" t="s">
        <v>92</v>
      </c>
      <c r="I792" s="2" t="str">
        <f>VLOOKUP(C792,[1]Sheet1!$C:$G,5,FALSE)</f>
        <v>POA</v>
      </c>
      <c r="J792" s="33"/>
    </row>
    <row r="793" spans="1:10" x14ac:dyDescent="0.3">
      <c r="A793" s="20" t="s">
        <v>401</v>
      </c>
      <c r="B793" s="8" t="s">
        <v>418</v>
      </c>
      <c r="C793" s="8" t="s">
        <v>458</v>
      </c>
      <c r="D793" s="6">
        <v>5056003705713</v>
      </c>
      <c r="E793" s="9" t="s">
        <v>459</v>
      </c>
      <c r="F793" s="9" t="s">
        <v>444</v>
      </c>
      <c r="G793" s="31">
        <v>10.636500000000002</v>
      </c>
      <c r="I793" s="2">
        <f>VLOOKUP(C793,[1]Sheet1!$C:$G,5,FALSE)</f>
        <v>10.130000000000001</v>
      </c>
      <c r="J793" s="33">
        <f t="shared" si="12"/>
        <v>5.0000000000000079E-2</v>
      </c>
    </row>
    <row r="794" spans="1:10" x14ac:dyDescent="0.3">
      <c r="A794" s="20" t="s">
        <v>401</v>
      </c>
      <c r="B794" s="8" t="s">
        <v>418</v>
      </c>
      <c r="C794" s="8" t="s">
        <v>460</v>
      </c>
      <c r="D794" s="6">
        <v>5056003707908</v>
      </c>
      <c r="E794" s="9" t="s">
        <v>461</v>
      </c>
      <c r="F794" s="9" t="s">
        <v>444</v>
      </c>
      <c r="G794" s="31">
        <v>177.91200000000001</v>
      </c>
      <c r="I794" s="2">
        <f>VLOOKUP(C794,[1]Sheet1!$C:$G,5,FALSE)</f>
        <v>169.44</v>
      </c>
      <c r="J794" s="33">
        <f t="shared" si="12"/>
        <v>5.0000000000000051E-2</v>
      </c>
    </row>
    <row r="795" spans="1:10" x14ac:dyDescent="0.3">
      <c r="A795" s="20" t="s">
        <v>401</v>
      </c>
      <c r="B795" s="8" t="s">
        <v>418</v>
      </c>
      <c r="C795" s="8" t="s">
        <v>462</v>
      </c>
      <c r="D795" s="6">
        <v>5056003705935</v>
      </c>
      <c r="E795" s="9" t="s">
        <v>463</v>
      </c>
      <c r="F795" s="9" t="s">
        <v>444</v>
      </c>
      <c r="G795" s="31">
        <v>6.4889999999999999</v>
      </c>
      <c r="I795" s="2">
        <f>VLOOKUP(C795,[1]Sheet1!$C:$G,5,FALSE)</f>
        <v>6.18</v>
      </c>
      <c r="J795" s="33">
        <f t="shared" si="12"/>
        <v>5.0000000000000031E-2</v>
      </c>
    </row>
    <row r="796" spans="1:10" x14ac:dyDescent="0.3">
      <c r="A796" s="20" t="s">
        <v>401</v>
      </c>
      <c r="B796" s="8" t="s">
        <v>509</v>
      </c>
      <c r="C796" s="8" t="s">
        <v>554</v>
      </c>
      <c r="D796" s="21">
        <v>5056003734263</v>
      </c>
      <c r="E796" s="22" t="s">
        <v>555</v>
      </c>
      <c r="F796" s="22" t="s">
        <v>556</v>
      </c>
      <c r="G796" s="31" t="s">
        <v>92</v>
      </c>
      <c r="I796" s="2" t="str">
        <f>VLOOKUP(C796,[1]Sheet1!$C:$G,5,FALSE)</f>
        <v>POA</v>
      </c>
      <c r="J796" s="33"/>
    </row>
    <row r="797" spans="1:10" x14ac:dyDescent="0.3">
      <c r="A797" s="20" t="s">
        <v>401</v>
      </c>
      <c r="B797" s="8" t="s">
        <v>418</v>
      </c>
      <c r="C797" s="8" t="s">
        <v>464</v>
      </c>
      <c r="D797" s="6">
        <v>5056003705850</v>
      </c>
      <c r="E797" s="9" t="s">
        <v>465</v>
      </c>
      <c r="F797" s="9" t="s">
        <v>444</v>
      </c>
      <c r="G797" s="31">
        <v>126.575</v>
      </c>
      <c r="I797" s="2">
        <f>VLOOKUP(C797,[1]Sheet1!$C:$G,5,FALSE)</f>
        <v>50.63</v>
      </c>
      <c r="J797" s="33">
        <f t="shared" si="12"/>
        <v>1.4999999999999998</v>
      </c>
    </row>
    <row r="798" spans="1:10" x14ac:dyDescent="0.3">
      <c r="A798" s="20" t="s">
        <v>401</v>
      </c>
      <c r="B798" s="8" t="s">
        <v>418</v>
      </c>
      <c r="C798" s="8" t="s">
        <v>466</v>
      </c>
      <c r="D798" s="6">
        <v>5056003706598</v>
      </c>
      <c r="E798" s="9" t="s">
        <v>467</v>
      </c>
      <c r="F798" s="9" t="s">
        <v>444</v>
      </c>
      <c r="G798" s="31">
        <v>74.917500000000004</v>
      </c>
      <c r="I798" s="2">
        <f>VLOOKUP(C798,[1]Sheet1!$C:$G,5,FALSE)</f>
        <v>71.349999999999994</v>
      </c>
      <c r="J798" s="33">
        <f t="shared" si="12"/>
        <v>5.0000000000000142E-2</v>
      </c>
    </row>
    <row r="799" spans="1:10" x14ac:dyDescent="0.3">
      <c r="A799" s="20" t="s">
        <v>401</v>
      </c>
      <c r="B799" s="8" t="s">
        <v>418</v>
      </c>
      <c r="C799" s="8" t="s">
        <v>468</v>
      </c>
      <c r="D799" s="6">
        <v>5056003705027</v>
      </c>
      <c r="E799" s="9" t="s">
        <v>469</v>
      </c>
      <c r="F799" s="9" t="s">
        <v>444</v>
      </c>
      <c r="G799" s="31" t="s">
        <v>92</v>
      </c>
      <c r="I799" s="2" t="str">
        <f>VLOOKUP(C799,[1]Sheet1!$C:$G,5,FALSE)</f>
        <v>POA</v>
      </c>
      <c r="J799" s="33"/>
    </row>
    <row r="800" spans="1:10" x14ac:dyDescent="0.3">
      <c r="A800" s="20" t="s">
        <v>401</v>
      </c>
      <c r="B800" s="8" t="s">
        <v>509</v>
      </c>
      <c r="C800" s="8" t="s">
        <v>557</v>
      </c>
      <c r="D800" s="6">
        <v>5056003705034</v>
      </c>
      <c r="E800" s="9" t="s">
        <v>558</v>
      </c>
      <c r="F800" s="9" t="s">
        <v>444</v>
      </c>
      <c r="G800" s="31">
        <v>53.192999999999998</v>
      </c>
      <c r="I800" s="2">
        <f>VLOOKUP(C800,[1]Sheet1!$C:$G,5,FALSE)</f>
        <v>50.66</v>
      </c>
      <c r="J800" s="33">
        <f t="shared" si="12"/>
        <v>5.0000000000000031E-2</v>
      </c>
    </row>
    <row r="801" spans="1:11" x14ac:dyDescent="0.3">
      <c r="A801" s="20" t="s">
        <v>401</v>
      </c>
      <c r="B801" s="8" t="s">
        <v>418</v>
      </c>
      <c r="C801" s="8" t="s">
        <v>470</v>
      </c>
      <c r="D801" s="6">
        <v>5056003708141</v>
      </c>
      <c r="E801" s="9" t="s">
        <v>471</v>
      </c>
      <c r="F801" s="9" t="s">
        <v>444</v>
      </c>
      <c r="G801" s="31">
        <v>171.738</v>
      </c>
      <c r="I801" s="2">
        <f>VLOOKUP(C801,[1]Sheet1!$C:$G,5,FALSE)</f>
        <v>163.56</v>
      </c>
      <c r="J801" s="33">
        <f t="shared" si="12"/>
        <v>4.9999999999999982E-2</v>
      </c>
    </row>
    <row r="802" spans="1:11" x14ac:dyDescent="0.3">
      <c r="A802" s="20" t="s">
        <v>401</v>
      </c>
      <c r="B802" s="8" t="s">
        <v>418</v>
      </c>
      <c r="C802" s="8" t="s">
        <v>472</v>
      </c>
      <c r="D802" s="6">
        <v>5056003719123</v>
      </c>
      <c r="E802" s="9" t="s">
        <v>473</v>
      </c>
      <c r="F802" s="9" t="s">
        <v>444</v>
      </c>
      <c r="G802" s="31">
        <v>122.676</v>
      </c>
      <c r="I802" s="2">
        <f>VLOOKUP(C802,[1]Sheet1!$C:$G,5,FALSE)</f>
        <v>102.23</v>
      </c>
      <c r="J802" s="33">
        <f t="shared" si="12"/>
        <v>0.19999999999999998</v>
      </c>
    </row>
    <row r="803" spans="1:11" s="47" customFormat="1" x14ac:dyDescent="0.3">
      <c r="A803" s="56" t="s">
        <v>401</v>
      </c>
      <c r="B803" s="43" t="s">
        <v>418</v>
      </c>
      <c r="C803" s="43" t="s">
        <v>474</v>
      </c>
      <c r="D803" s="44">
        <v>5056003702910</v>
      </c>
      <c r="E803" s="45" t="s">
        <v>475</v>
      </c>
      <c r="F803" s="45" t="s">
        <v>476</v>
      </c>
      <c r="G803" s="46">
        <v>317.81400000000002</v>
      </c>
      <c r="I803" s="47">
        <f>VLOOKUP(C803,[1]Sheet1!$C:$G,5,FALSE)</f>
        <v>302.68</v>
      </c>
      <c r="J803" s="48">
        <f t="shared" ref="J803:J865" si="13">(G803-I803)/I803</f>
        <v>5.0000000000000044E-2</v>
      </c>
      <c r="K803" s="47" t="s">
        <v>2344</v>
      </c>
    </row>
    <row r="804" spans="1:11" x14ac:dyDescent="0.3">
      <c r="A804" s="20" t="s">
        <v>401</v>
      </c>
      <c r="B804" s="8" t="s">
        <v>418</v>
      </c>
      <c r="C804" s="37" t="s">
        <v>2228</v>
      </c>
      <c r="D804" s="6">
        <v>5056003782646</v>
      </c>
      <c r="E804" s="9" t="s">
        <v>2232</v>
      </c>
      <c r="F804" s="9" t="s">
        <v>476</v>
      </c>
      <c r="G804" s="31">
        <v>317.81400000000002</v>
      </c>
      <c r="I804" s="2">
        <f>VLOOKUP(C804,[1]Sheet1!$C:$G,5,FALSE)</f>
        <v>272.69</v>
      </c>
      <c r="J804" s="33">
        <f t="shared" si="13"/>
        <v>0.16547728189519242</v>
      </c>
    </row>
    <row r="805" spans="1:11" s="47" customFormat="1" x14ac:dyDescent="0.3">
      <c r="A805" s="56" t="s">
        <v>401</v>
      </c>
      <c r="B805" s="43" t="s">
        <v>418</v>
      </c>
      <c r="C805" s="43" t="s">
        <v>477</v>
      </c>
      <c r="D805" s="44">
        <v>5056003702927</v>
      </c>
      <c r="E805" s="45" t="s">
        <v>478</v>
      </c>
      <c r="F805" s="45" t="s">
        <v>407</v>
      </c>
      <c r="G805" s="46">
        <v>317.81400000000002</v>
      </c>
      <c r="I805" s="47">
        <f>VLOOKUP(C805,[1]Sheet1!$C:$G,5,FALSE)</f>
        <v>302.68</v>
      </c>
      <c r="J805" s="48">
        <f t="shared" si="13"/>
        <v>5.0000000000000044E-2</v>
      </c>
      <c r="K805" s="47" t="s">
        <v>2344</v>
      </c>
    </row>
    <row r="806" spans="1:11" x14ac:dyDescent="0.3">
      <c r="A806" s="20" t="s">
        <v>401</v>
      </c>
      <c r="B806" s="8" t="s">
        <v>418</v>
      </c>
      <c r="C806" s="37" t="s">
        <v>2229</v>
      </c>
      <c r="D806" s="6">
        <v>5056003782653</v>
      </c>
      <c r="E806" s="9" t="s">
        <v>2233</v>
      </c>
      <c r="F806" s="9" t="s">
        <v>407</v>
      </c>
      <c r="G806" s="31">
        <v>409.03499999999997</v>
      </c>
      <c r="I806" s="2">
        <f>VLOOKUP(C806,[1]Sheet1!$C:$G,5,FALSE)</f>
        <v>272.69</v>
      </c>
      <c r="J806" s="33">
        <f t="shared" si="13"/>
        <v>0.49999999999999989</v>
      </c>
    </row>
    <row r="807" spans="1:11" x14ac:dyDescent="0.3">
      <c r="A807" s="20" t="s">
        <v>401</v>
      </c>
      <c r="B807" s="8" t="s">
        <v>509</v>
      </c>
      <c r="C807" s="8" t="s">
        <v>559</v>
      </c>
      <c r="D807" s="6">
        <v>5056003709551</v>
      </c>
      <c r="E807" s="9" t="s">
        <v>560</v>
      </c>
      <c r="F807" s="9" t="s">
        <v>421</v>
      </c>
      <c r="G807" s="31">
        <v>128.47900000000001</v>
      </c>
      <c r="I807" s="2">
        <f>VLOOKUP(C807,[1]Sheet1!$C:$G,5,FALSE)</f>
        <v>98.83</v>
      </c>
      <c r="J807" s="33">
        <f t="shared" si="13"/>
        <v>0.30000000000000016</v>
      </c>
    </row>
    <row r="808" spans="1:11" x14ac:dyDescent="0.3">
      <c r="A808" s="20" t="s">
        <v>401</v>
      </c>
      <c r="B808" s="8" t="s">
        <v>418</v>
      </c>
      <c r="C808" s="8" t="s">
        <v>479</v>
      </c>
      <c r="D808" s="6">
        <v>5056003705423</v>
      </c>
      <c r="E808" s="9" t="s">
        <v>480</v>
      </c>
      <c r="F808" s="9" t="s">
        <v>421</v>
      </c>
      <c r="G808" s="31">
        <v>6.4365000000000006</v>
      </c>
      <c r="I808" s="2">
        <f>VLOOKUP(C808,[1]Sheet1!$C:$G,5,FALSE)</f>
        <v>6.13</v>
      </c>
      <c r="J808" s="33">
        <f t="shared" si="13"/>
        <v>5.0000000000000107E-2</v>
      </c>
    </row>
    <row r="809" spans="1:11" x14ac:dyDescent="0.3">
      <c r="A809" s="20" t="s">
        <v>401</v>
      </c>
      <c r="B809" s="8" t="s">
        <v>418</v>
      </c>
      <c r="C809" s="8" t="s">
        <v>481</v>
      </c>
      <c r="D809" s="6">
        <v>5056003707892</v>
      </c>
      <c r="E809" s="9" t="s">
        <v>482</v>
      </c>
      <c r="F809" s="9" t="s">
        <v>476</v>
      </c>
      <c r="G809" s="31">
        <v>124.52500000000001</v>
      </c>
      <c r="I809" s="2">
        <f>VLOOKUP(C809,[1]Sheet1!$C:$G,5,FALSE)</f>
        <v>99.62</v>
      </c>
      <c r="J809" s="33">
        <f t="shared" si="13"/>
        <v>0.25</v>
      </c>
    </row>
    <row r="810" spans="1:11" x14ac:dyDescent="0.3">
      <c r="A810" s="20" t="s">
        <v>401</v>
      </c>
      <c r="B810" s="8" t="s">
        <v>418</v>
      </c>
      <c r="C810" s="8" t="s">
        <v>483</v>
      </c>
      <c r="D810" s="6">
        <v>5056003703016</v>
      </c>
      <c r="E810" s="9" t="s">
        <v>484</v>
      </c>
      <c r="F810" s="9" t="s">
        <v>407</v>
      </c>
      <c r="G810" s="31">
        <v>140.46719999999999</v>
      </c>
      <c r="I810" s="2">
        <f>VLOOKUP(C810,[1]Sheet1!$C:$G,5,FALSE)</f>
        <v>109.74</v>
      </c>
      <c r="J810" s="33">
        <f t="shared" si="13"/>
        <v>0.27999999999999997</v>
      </c>
    </row>
    <row r="811" spans="1:11" x14ac:dyDescent="0.3">
      <c r="A811" s="20" t="s">
        <v>401</v>
      </c>
      <c r="B811" s="8" t="s">
        <v>418</v>
      </c>
      <c r="C811" s="8" t="s">
        <v>485</v>
      </c>
      <c r="D811" s="6">
        <v>5056003707915</v>
      </c>
      <c r="E811" s="9" t="s">
        <v>486</v>
      </c>
      <c r="F811" s="9" t="s">
        <v>476</v>
      </c>
      <c r="G811" s="31">
        <v>177.5625</v>
      </c>
      <c r="I811" s="2">
        <f>VLOOKUP(C811,[1]Sheet1!$C:$G,5,FALSE)</f>
        <v>142.05000000000001</v>
      </c>
      <c r="J811" s="33">
        <f t="shared" si="13"/>
        <v>0.24999999999999989</v>
      </c>
    </row>
    <row r="812" spans="1:11" x14ac:dyDescent="0.3">
      <c r="A812" s="20" t="s">
        <v>401</v>
      </c>
      <c r="B812" s="8" t="s">
        <v>418</v>
      </c>
      <c r="C812" s="8" t="s">
        <v>487</v>
      </c>
      <c r="D812" s="6">
        <v>5056003707922</v>
      </c>
      <c r="E812" s="9" t="s">
        <v>486</v>
      </c>
      <c r="F812" s="9" t="s">
        <v>407</v>
      </c>
      <c r="G812" s="31">
        <v>156.08320000000001</v>
      </c>
      <c r="I812" s="2">
        <f>VLOOKUP(C812,[1]Sheet1!$C:$G,5,FALSE)</f>
        <v>121.94</v>
      </c>
      <c r="J812" s="33">
        <f t="shared" si="13"/>
        <v>0.28000000000000008</v>
      </c>
    </row>
    <row r="813" spans="1:11" x14ac:dyDescent="0.3">
      <c r="A813" s="20" t="s">
        <v>401</v>
      </c>
      <c r="B813" s="8" t="s">
        <v>509</v>
      </c>
      <c r="C813" s="8" t="s">
        <v>561</v>
      </c>
      <c r="D813" s="6">
        <v>5056003719116</v>
      </c>
      <c r="E813" s="9" t="s">
        <v>562</v>
      </c>
      <c r="F813" s="9" t="s">
        <v>476</v>
      </c>
      <c r="G813" s="30" t="s">
        <v>92</v>
      </c>
      <c r="I813" s="2">
        <f>VLOOKUP(C813,[1]Sheet1!$C:$G,5,FALSE)</f>
        <v>12.36</v>
      </c>
      <c r="J813" s="33"/>
    </row>
    <row r="814" spans="1:11" x14ac:dyDescent="0.3">
      <c r="A814" s="20" t="s">
        <v>401</v>
      </c>
      <c r="B814" s="8" t="s">
        <v>509</v>
      </c>
      <c r="C814" s="8" t="s">
        <v>563</v>
      </c>
      <c r="D814" s="6">
        <v>5056003705751</v>
      </c>
      <c r="E814" s="9" t="s">
        <v>564</v>
      </c>
      <c r="F814" s="9" t="s">
        <v>421</v>
      </c>
      <c r="G814" s="31">
        <v>14.794500000000001</v>
      </c>
      <c r="I814" s="2">
        <f>VLOOKUP(C814,[1]Sheet1!$C:$G,5,FALSE)</f>
        <v>14.09</v>
      </c>
      <c r="J814" s="33">
        <f t="shared" si="13"/>
        <v>5.0000000000000086E-2</v>
      </c>
    </row>
    <row r="815" spans="1:11" x14ac:dyDescent="0.3">
      <c r="A815" s="20" t="s">
        <v>401</v>
      </c>
      <c r="B815" s="8" t="s">
        <v>509</v>
      </c>
      <c r="C815" s="8" t="s">
        <v>565</v>
      </c>
      <c r="D815" s="6">
        <v>5056003719109</v>
      </c>
      <c r="E815" s="9" t="s">
        <v>566</v>
      </c>
      <c r="F815" s="9" t="s">
        <v>421</v>
      </c>
      <c r="G815" s="31" t="s">
        <v>92</v>
      </c>
      <c r="I815" s="2" t="str">
        <f>VLOOKUP(C815,[1]Sheet1!$C:$G,5,FALSE)</f>
        <v>POA</v>
      </c>
      <c r="J815" s="33"/>
    </row>
    <row r="816" spans="1:11" x14ac:dyDescent="0.3">
      <c r="A816" s="20" t="s">
        <v>401</v>
      </c>
      <c r="B816" s="8" t="s">
        <v>509</v>
      </c>
      <c r="C816" s="8" t="s">
        <v>567</v>
      </c>
      <c r="D816" s="6">
        <v>5056003705768</v>
      </c>
      <c r="E816" s="9" t="s">
        <v>568</v>
      </c>
      <c r="F816" s="9" t="s">
        <v>421</v>
      </c>
      <c r="G816" s="31">
        <v>25.08</v>
      </c>
      <c r="I816" s="2">
        <f>VLOOKUP(C816,[1]Sheet1!$C:$G,5,FALSE)</f>
        <v>15.2</v>
      </c>
      <c r="J816" s="33">
        <f t="shared" si="13"/>
        <v>0.64999999999999991</v>
      </c>
    </row>
    <row r="817" spans="1:10" x14ac:dyDescent="0.3">
      <c r="A817" s="20" t="s">
        <v>401</v>
      </c>
      <c r="B817" s="8" t="s">
        <v>509</v>
      </c>
      <c r="C817" s="8" t="s">
        <v>569</v>
      </c>
      <c r="D817" s="6">
        <v>5056003719093</v>
      </c>
      <c r="E817" s="9" t="s">
        <v>570</v>
      </c>
      <c r="F817" s="9" t="s">
        <v>421</v>
      </c>
      <c r="G817" s="31" t="s">
        <v>92</v>
      </c>
      <c r="I817" s="2" t="str">
        <f>VLOOKUP(C817,[1]Sheet1!$C:$G,5,FALSE)</f>
        <v>POA</v>
      </c>
      <c r="J817" s="33"/>
    </row>
    <row r="818" spans="1:10" x14ac:dyDescent="0.3">
      <c r="A818" s="20" t="s">
        <v>401</v>
      </c>
      <c r="B818" s="8" t="s">
        <v>509</v>
      </c>
      <c r="C818" s="8" t="s">
        <v>571</v>
      </c>
      <c r="D818" s="6">
        <v>5056003719079</v>
      </c>
      <c r="E818" s="9" t="s">
        <v>572</v>
      </c>
      <c r="F818" s="9" t="s">
        <v>421</v>
      </c>
      <c r="G818" s="31" t="s">
        <v>92</v>
      </c>
      <c r="I818" s="2" t="str">
        <f>VLOOKUP(C818,[1]Sheet1!$C:$G,5,FALSE)</f>
        <v>POA</v>
      </c>
      <c r="J818" s="33"/>
    </row>
    <row r="819" spans="1:10" x14ac:dyDescent="0.3">
      <c r="A819" s="20" t="s">
        <v>401</v>
      </c>
      <c r="B819" s="8" t="s">
        <v>509</v>
      </c>
      <c r="C819" s="8" t="s">
        <v>573</v>
      </c>
      <c r="D819" s="6">
        <v>5056003705737</v>
      </c>
      <c r="E819" s="9" t="s">
        <v>574</v>
      </c>
      <c r="F819" s="9" t="s">
        <v>421</v>
      </c>
      <c r="G819" s="31">
        <v>8.6939999999999991</v>
      </c>
      <c r="I819" s="2">
        <f>VLOOKUP(C819,[1]Sheet1!$C:$G,5,FALSE)</f>
        <v>8.2799999999999994</v>
      </c>
      <c r="J819" s="33">
        <f t="shared" si="13"/>
        <v>4.9999999999999968E-2</v>
      </c>
    </row>
    <row r="820" spans="1:10" x14ac:dyDescent="0.3">
      <c r="A820" s="20" t="s">
        <v>401</v>
      </c>
      <c r="B820" s="8" t="s">
        <v>509</v>
      </c>
      <c r="C820" s="8" t="s">
        <v>575</v>
      </c>
      <c r="D820" s="6">
        <v>5056003707212</v>
      </c>
      <c r="E820" s="9" t="s">
        <v>576</v>
      </c>
      <c r="F820" s="9" t="s">
        <v>577</v>
      </c>
      <c r="G820" s="31">
        <v>1284.2280000000001</v>
      </c>
      <c r="I820" s="2">
        <f>VLOOKUP(C820,[1]Sheet1!$C:$G,5,FALSE)</f>
        <v>1167.48</v>
      </c>
      <c r="J820" s="33">
        <f t="shared" si="13"/>
        <v>0.10000000000000003</v>
      </c>
    </row>
    <row r="821" spans="1:10" x14ac:dyDescent="0.3">
      <c r="A821" s="20" t="s">
        <v>401</v>
      </c>
      <c r="B821" s="8" t="s">
        <v>509</v>
      </c>
      <c r="C821" s="8" t="s">
        <v>578</v>
      </c>
      <c r="D821" s="6">
        <v>5056003705980</v>
      </c>
      <c r="E821" s="9" t="s">
        <v>579</v>
      </c>
      <c r="F821" s="9" t="s">
        <v>580</v>
      </c>
      <c r="G821" s="31">
        <v>108.6225</v>
      </c>
      <c r="I821" s="2">
        <f>VLOOKUP(C821,[1]Sheet1!$C:$G,5,FALSE)</f>
        <v>62.07</v>
      </c>
      <c r="J821" s="33">
        <f t="shared" si="13"/>
        <v>0.75</v>
      </c>
    </row>
    <row r="822" spans="1:10" x14ac:dyDescent="0.3">
      <c r="A822" s="20" t="s">
        <v>401</v>
      </c>
      <c r="B822" s="8" t="s">
        <v>509</v>
      </c>
      <c r="C822" s="8" t="s">
        <v>581</v>
      </c>
      <c r="D822" s="6">
        <v>5056003709513</v>
      </c>
      <c r="E822" s="9" t="s">
        <v>582</v>
      </c>
      <c r="F822" s="9" t="s">
        <v>583</v>
      </c>
      <c r="G822" s="31">
        <v>59.673499999999997</v>
      </c>
      <c r="I822" s="2">
        <f>VLOOKUP(C822,[1]Sheet1!$C:$G,5,FALSE)</f>
        <v>51.89</v>
      </c>
      <c r="J822" s="33">
        <f t="shared" si="13"/>
        <v>0.14999999999999994</v>
      </c>
    </row>
    <row r="823" spans="1:10" x14ac:dyDescent="0.3">
      <c r="A823" s="20" t="s">
        <v>401</v>
      </c>
      <c r="B823" s="8" t="s">
        <v>509</v>
      </c>
      <c r="C823" s="8" t="s">
        <v>584</v>
      </c>
      <c r="D823" s="6">
        <v>5056003705454</v>
      </c>
      <c r="E823" s="9" t="s">
        <v>585</v>
      </c>
      <c r="F823" s="9" t="s">
        <v>421</v>
      </c>
      <c r="G823" s="31">
        <v>227.01</v>
      </c>
      <c r="I823" s="2">
        <f>VLOOKUP(C823,[1]Sheet1!$C:$G,5,FALSE)</f>
        <v>216.2</v>
      </c>
      <c r="J823" s="33">
        <f t="shared" si="13"/>
        <v>5.000000000000001E-2</v>
      </c>
    </row>
    <row r="824" spans="1:10" x14ac:dyDescent="0.3">
      <c r="A824" s="20" t="s">
        <v>401</v>
      </c>
      <c r="B824" s="8" t="s">
        <v>509</v>
      </c>
      <c r="C824" s="8" t="s">
        <v>586</v>
      </c>
      <c r="D824" s="6">
        <v>5056003719055</v>
      </c>
      <c r="E824" s="9" t="s">
        <v>587</v>
      </c>
      <c r="F824" s="9" t="s">
        <v>421</v>
      </c>
      <c r="G824" s="31" t="s">
        <v>92</v>
      </c>
      <c r="I824" s="2" t="str">
        <f>VLOOKUP(C824,[1]Sheet1!$C:$G,5,FALSE)</f>
        <v>POA</v>
      </c>
      <c r="J824" s="33"/>
    </row>
    <row r="825" spans="1:10" x14ac:dyDescent="0.3">
      <c r="A825" s="20" t="s">
        <v>401</v>
      </c>
      <c r="B825" s="8" t="s">
        <v>509</v>
      </c>
      <c r="C825" s="8" t="s">
        <v>588</v>
      </c>
      <c r="D825" s="6">
        <v>5056003719048</v>
      </c>
      <c r="E825" s="9" t="s">
        <v>589</v>
      </c>
      <c r="F825" s="9" t="s">
        <v>476</v>
      </c>
      <c r="G825" s="31" t="s">
        <v>92</v>
      </c>
      <c r="I825" s="2" t="str">
        <f>VLOOKUP(C825,[1]Sheet1!$C:$G,5,FALSE)</f>
        <v>POA</v>
      </c>
      <c r="J825" s="33"/>
    </row>
    <row r="826" spans="1:10" x14ac:dyDescent="0.3">
      <c r="A826" s="20" t="s">
        <v>401</v>
      </c>
      <c r="B826" s="8" t="s">
        <v>509</v>
      </c>
      <c r="C826" s="8" t="s">
        <v>590</v>
      </c>
      <c r="D826" s="6">
        <v>5056003719017</v>
      </c>
      <c r="E826" s="9" t="s">
        <v>591</v>
      </c>
      <c r="F826" s="9" t="s">
        <v>407</v>
      </c>
      <c r="G826" s="31" t="s">
        <v>92</v>
      </c>
      <c r="I826" s="2" t="str">
        <f>VLOOKUP(C826,[1]Sheet1!$C:$G,5,FALSE)</f>
        <v>POA</v>
      </c>
      <c r="J826" s="33"/>
    </row>
    <row r="827" spans="1:10" x14ac:dyDescent="0.3">
      <c r="A827" s="20" t="s">
        <v>401</v>
      </c>
      <c r="B827" s="8" t="s">
        <v>509</v>
      </c>
      <c r="C827" s="8" t="s">
        <v>592</v>
      </c>
      <c r="D827" s="6">
        <v>5056003718997</v>
      </c>
      <c r="E827" s="9" t="s">
        <v>593</v>
      </c>
      <c r="F827" s="9" t="s">
        <v>476</v>
      </c>
      <c r="G827" s="31" t="s">
        <v>92</v>
      </c>
      <c r="I827" s="2" t="str">
        <f>VLOOKUP(C827,[1]Sheet1!$C:$G,5,FALSE)</f>
        <v>POA</v>
      </c>
      <c r="J827" s="33"/>
    </row>
    <row r="828" spans="1:10" x14ac:dyDescent="0.3">
      <c r="A828" s="20" t="s">
        <v>401</v>
      </c>
      <c r="B828" s="8" t="s">
        <v>509</v>
      </c>
      <c r="C828" s="8" t="s">
        <v>594</v>
      </c>
      <c r="D828" s="6">
        <v>5056003718980</v>
      </c>
      <c r="E828" s="9" t="s">
        <v>593</v>
      </c>
      <c r="F828" s="9" t="s">
        <v>407</v>
      </c>
      <c r="G828" s="31" t="s">
        <v>92</v>
      </c>
      <c r="I828" s="2" t="str">
        <f>VLOOKUP(C828,[1]Sheet1!$C:$G,5,FALSE)</f>
        <v>POA</v>
      </c>
      <c r="J828" s="33"/>
    </row>
    <row r="829" spans="1:10" x14ac:dyDescent="0.3">
      <c r="A829" s="20" t="s">
        <v>401</v>
      </c>
      <c r="B829" s="8" t="s">
        <v>509</v>
      </c>
      <c r="C829" s="8" t="s">
        <v>595</v>
      </c>
      <c r="D829" s="6">
        <v>5056003718966</v>
      </c>
      <c r="E829" s="9" t="s">
        <v>596</v>
      </c>
      <c r="F829" s="9" t="s">
        <v>476</v>
      </c>
      <c r="G829" s="31" t="s">
        <v>92</v>
      </c>
      <c r="I829" s="2" t="str">
        <f>VLOOKUP(C829,[1]Sheet1!$C:$G,5,FALSE)</f>
        <v>POA</v>
      </c>
      <c r="J829" s="33"/>
    </row>
    <row r="830" spans="1:10" x14ac:dyDescent="0.3">
      <c r="A830" s="20" t="s">
        <v>401</v>
      </c>
      <c r="B830" s="8" t="s">
        <v>509</v>
      </c>
      <c r="C830" s="8" t="s">
        <v>597</v>
      </c>
      <c r="D830" s="6">
        <v>5056003718942</v>
      </c>
      <c r="E830" s="9" t="s">
        <v>598</v>
      </c>
      <c r="F830" s="9" t="s">
        <v>407</v>
      </c>
      <c r="G830" s="31" t="s">
        <v>92</v>
      </c>
      <c r="I830" s="2" t="str">
        <f>VLOOKUP(C830,[1]Sheet1!$C:$G,5,FALSE)</f>
        <v>POA</v>
      </c>
      <c r="J830" s="33"/>
    </row>
    <row r="831" spans="1:10" x14ac:dyDescent="0.3">
      <c r="A831" s="20" t="s">
        <v>401</v>
      </c>
      <c r="B831" s="8" t="s">
        <v>509</v>
      </c>
      <c r="C831" s="8" t="s">
        <v>599</v>
      </c>
      <c r="D831" s="6">
        <v>5056003705331</v>
      </c>
      <c r="E831" s="9" t="s">
        <v>600</v>
      </c>
      <c r="F831" s="9" t="s">
        <v>421</v>
      </c>
      <c r="G831" s="31">
        <v>190.69050000000001</v>
      </c>
      <c r="I831" s="2">
        <f>VLOOKUP(C831,[1]Sheet1!$C:$G,5,FALSE)</f>
        <v>181.61</v>
      </c>
      <c r="J831" s="33">
        <f t="shared" si="13"/>
        <v>0.05</v>
      </c>
    </row>
    <row r="832" spans="1:10" x14ac:dyDescent="0.3">
      <c r="A832" s="20" t="s">
        <v>401</v>
      </c>
      <c r="B832" s="8" t="s">
        <v>509</v>
      </c>
      <c r="C832" s="8" t="s">
        <v>601</v>
      </c>
      <c r="D832" s="6">
        <v>5056003705720</v>
      </c>
      <c r="E832" s="9" t="s">
        <v>602</v>
      </c>
      <c r="F832" s="9" t="s">
        <v>421</v>
      </c>
      <c r="G832" s="31">
        <v>8.6310000000000002</v>
      </c>
      <c r="I832" s="2">
        <f>VLOOKUP(C832,[1]Sheet1!$C:$G,5,FALSE)</f>
        <v>8.2200000000000006</v>
      </c>
      <c r="J832" s="33">
        <f t="shared" si="13"/>
        <v>4.9999999999999947E-2</v>
      </c>
    </row>
    <row r="833" spans="1:10" x14ac:dyDescent="0.3">
      <c r="A833" s="20" t="s">
        <v>401</v>
      </c>
      <c r="B833" s="8" t="s">
        <v>509</v>
      </c>
      <c r="C833" s="8" t="s">
        <v>603</v>
      </c>
      <c r="D833" s="6">
        <v>5056003702880</v>
      </c>
      <c r="E833" s="9" t="s">
        <v>604</v>
      </c>
      <c r="F833" s="9" t="s">
        <v>421</v>
      </c>
      <c r="G833" s="31">
        <v>6.8145000000000007</v>
      </c>
      <c r="I833" s="2">
        <f>VLOOKUP(C833,[1]Sheet1!$C:$G,5,FALSE)</f>
        <v>6.49</v>
      </c>
      <c r="J833" s="33">
        <f t="shared" si="13"/>
        <v>5.0000000000000065E-2</v>
      </c>
    </row>
    <row r="834" spans="1:10" x14ac:dyDescent="0.3">
      <c r="A834" s="20" t="s">
        <v>401</v>
      </c>
      <c r="B834" s="8" t="s">
        <v>509</v>
      </c>
      <c r="C834" s="8" t="s">
        <v>605</v>
      </c>
      <c r="D834" s="6">
        <v>5056003705782</v>
      </c>
      <c r="E834" s="9" t="s">
        <v>606</v>
      </c>
      <c r="F834" s="9" t="s">
        <v>421</v>
      </c>
      <c r="G834" s="31">
        <v>12.978</v>
      </c>
      <c r="I834" s="2">
        <f>VLOOKUP(C834,[1]Sheet1!$C:$G,5,FALSE)</f>
        <v>12.36</v>
      </c>
      <c r="J834" s="33">
        <f t="shared" si="13"/>
        <v>5.0000000000000031E-2</v>
      </c>
    </row>
    <row r="835" spans="1:10" x14ac:dyDescent="0.3">
      <c r="A835" s="20" t="s">
        <v>401</v>
      </c>
      <c r="B835" s="8" t="s">
        <v>509</v>
      </c>
      <c r="C835" s="8" t="s">
        <v>608</v>
      </c>
      <c r="D835" s="6">
        <v>5056003718904</v>
      </c>
      <c r="E835" s="9" t="s">
        <v>607</v>
      </c>
      <c r="F835" s="9" t="s">
        <v>407</v>
      </c>
      <c r="G835" s="31" t="s">
        <v>92</v>
      </c>
      <c r="I835" s="2" t="str">
        <f>VLOOKUP(C835,[1]Sheet1!$C:$G,5,FALSE)</f>
        <v>POA</v>
      </c>
      <c r="J835" s="33"/>
    </row>
    <row r="836" spans="1:10" x14ac:dyDescent="0.3">
      <c r="A836" s="20" t="s">
        <v>401</v>
      </c>
      <c r="B836" s="8" t="s">
        <v>509</v>
      </c>
      <c r="C836" s="8" t="s">
        <v>609</v>
      </c>
      <c r="D836" s="6">
        <v>5056003705867</v>
      </c>
      <c r="E836" s="9" t="s">
        <v>610</v>
      </c>
      <c r="F836" s="9" t="s">
        <v>476</v>
      </c>
      <c r="G836" s="31">
        <v>136.20600000000002</v>
      </c>
      <c r="I836" s="2">
        <f>VLOOKUP(C836,[1]Sheet1!$C:$G,5,FALSE)</f>
        <v>129.72</v>
      </c>
      <c r="J836" s="33">
        <f t="shared" si="13"/>
        <v>5.0000000000000142E-2</v>
      </c>
    </row>
    <row r="837" spans="1:10" x14ac:dyDescent="0.3">
      <c r="A837" s="20" t="s">
        <v>401</v>
      </c>
      <c r="B837" s="8" t="s">
        <v>509</v>
      </c>
      <c r="C837" s="8" t="s">
        <v>611</v>
      </c>
      <c r="D837" s="6">
        <v>5056003705874</v>
      </c>
      <c r="E837" s="9" t="s">
        <v>610</v>
      </c>
      <c r="F837" s="9" t="s">
        <v>407</v>
      </c>
      <c r="G837" s="31">
        <v>149.17349999999999</v>
      </c>
      <c r="I837" s="2">
        <f>VLOOKUP(C837,[1]Sheet1!$C:$G,5,FALSE)</f>
        <v>142.07</v>
      </c>
      <c r="J837" s="33">
        <f t="shared" si="13"/>
        <v>4.9999999999999982E-2</v>
      </c>
    </row>
    <row r="838" spans="1:10" x14ac:dyDescent="0.3">
      <c r="A838" s="20" t="s">
        <v>401</v>
      </c>
      <c r="B838" s="8" t="s">
        <v>509</v>
      </c>
      <c r="C838" s="8" t="s">
        <v>612</v>
      </c>
      <c r="D838" s="6">
        <v>5056003718898</v>
      </c>
      <c r="E838" s="9" t="s">
        <v>613</v>
      </c>
      <c r="F838" s="9" t="s">
        <v>421</v>
      </c>
      <c r="G838" s="31" t="s">
        <v>92</v>
      </c>
      <c r="I838" s="2" t="str">
        <f>VLOOKUP(C838,[1]Sheet1!$C:$G,5,FALSE)</f>
        <v>POA</v>
      </c>
      <c r="J838" s="33"/>
    </row>
    <row r="839" spans="1:10" x14ac:dyDescent="0.3">
      <c r="A839" s="20" t="s">
        <v>401</v>
      </c>
      <c r="B839" s="8" t="s">
        <v>509</v>
      </c>
      <c r="C839" s="8" t="s">
        <v>614</v>
      </c>
      <c r="D839" s="40">
        <v>5056003718867</v>
      </c>
      <c r="E839" s="9" t="s">
        <v>615</v>
      </c>
      <c r="F839" s="9" t="s">
        <v>476</v>
      </c>
      <c r="G839" s="31" t="s">
        <v>92</v>
      </c>
      <c r="I839" s="2" t="str">
        <f>VLOOKUP(C839,[1]Sheet1!$C:$G,5,FALSE)</f>
        <v>POA</v>
      </c>
      <c r="J839" s="33"/>
    </row>
    <row r="840" spans="1:10" x14ac:dyDescent="0.3">
      <c r="A840" s="20" t="s">
        <v>401</v>
      </c>
      <c r="B840" s="8" t="s">
        <v>509</v>
      </c>
      <c r="C840" s="8" t="s">
        <v>616</v>
      </c>
      <c r="D840" s="40">
        <v>5056003718850</v>
      </c>
      <c r="E840" s="9" t="s">
        <v>615</v>
      </c>
      <c r="F840" s="9" t="s">
        <v>407</v>
      </c>
      <c r="G840" s="31" t="s">
        <v>92</v>
      </c>
      <c r="I840" s="2" t="str">
        <f>VLOOKUP(C840,[1]Sheet1!$C:$G,5,FALSE)</f>
        <v>POA</v>
      </c>
      <c r="J840" s="33"/>
    </row>
    <row r="841" spans="1:10" x14ac:dyDescent="0.3">
      <c r="A841" s="20" t="s">
        <v>401</v>
      </c>
      <c r="B841" s="8" t="s">
        <v>509</v>
      </c>
      <c r="C841" s="8" t="s">
        <v>617</v>
      </c>
      <c r="D841" s="40">
        <v>5056003705997</v>
      </c>
      <c r="E841" s="9" t="s">
        <v>618</v>
      </c>
      <c r="F841" s="9" t="s">
        <v>476</v>
      </c>
      <c r="G841" s="31">
        <v>114.1455</v>
      </c>
      <c r="I841" s="2">
        <f>VLOOKUP(C841,[1]Sheet1!$C:$G,5,FALSE)</f>
        <v>108.71</v>
      </c>
      <c r="J841" s="33">
        <f t="shared" si="13"/>
        <v>5.0000000000000044E-2</v>
      </c>
    </row>
    <row r="842" spans="1:10" x14ac:dyDescent="0.3">
      <c r="A842" s="20" t="s">
        <v>401</v>
      </c>
      <c r="B842" s="8" t="s">
        <v>509</v>
      </c>
      <c r="C842" s="8" t="s">
        <v>619</v>
      </c>
      <c r="D842" s="40">
        <v>5056003705614</v>
      </c>
      <c r="E842" s="9" t="s">
        <v>618</v>
      </c>
      <c r="F842" s="9" t="s">
        <v>407</v>
      </c>
      <c r="G842" s="31">
        <v>114.1455</v>
      </c>
      <c r="I842" s="2">
        <f>VLOOKUP(C842,[1]Sheet1!$C:$G,5,FALSE)</f>
        <v>108.71</v>
      </c>
      <c r="J842" s="33">
        <f t="shared" si="13"/>
        <v>5.0000000000000044E-2</v>
      </c>
    </row>
    <row r="843" spans="1:10" x14ac:dyDescent="0.3">
      <c r="A843" s="20" t="s">
        <v>401</v>
      </c>
      <c r="B843" s="8" t="s">
        <v>509</v>
      </c>
      <c r="C843" s="8" t="s">
        <v>620</v>
      </c>
      <c r="D843" s="40">
        <v>5056003705706</v>
      </c>
      <c r="E843" s="9" t="s">
        <v>621</v>
      </c>
      <c r="F843" s="9" t="s">
        <v>421</v>
      </c>
      <c r="G843" s="31">
        <v>22.701000000000001</v>
      </c>
      <c r="I843" s="2">
        <f>VLOOKUP(C843,[1]Sheet1!$C:$G,5,FALSE)</f>
        <v>21.62</v>
      </c>
      <c r="J843" s="33">
        <f t="shared" si="13"/>
        <v>4.9999999999999975E-2</v>
      </c>
    </row>
    <row r="844" spans="1:10" x14ac:dyDescent="0.3">
      <c r="A844" s="20" t="s">
        <v>401</v>
      </c>
      <c r="B844" s="8" t="s">
        <v>509</v>
      </c>
      <c r="C844" s="8" t="s">
        <v>622</v>
      </c>
      <c r="D844" s="40">
        <v>5056003705348</v>
      </c>
      <c r="E844" s="9" t="s">
        <v>623</v>
      </c>
      <c r="F844" s="9" t="s">
        <v>421</v>
      </c>
      <c r="G844" s="31">
        <v>227.01</v>
      </c>
      <c r="I844" s="2">
        <f>VLOOKUP(C844,[1]Sheet1!$C:$G,5,FALSE)</f>
        <v>216.2</v>
      </c>
      <c r="J844" s="33">
        <f t="shared" si="13"/>
        <v>5.000000000000001E-2</v>
      </c>
    </row>
    <row r="845" spans="1:10" x14ac:dyDescent="0.3">
      <c r="A845" s="20" t="s">
        <v>401</v>
      </c>
      <c r="B845" s="8" t="s">
        <v>509</v>
      </c>
      <c r="C845" s="8" t="s">
        <v>624</v>
      </c>
      <c r="D845" s="40">
        <v>5056003705775</v>
      </c>
      <c r="E845" s="9" t="s">
        <v>625</v>
      </c>
      <c r="F845" s="9" t="s">
        <v>421</v>
      </c>
      <c r="G845" s="31">
        <v>22.701000000000001</v>
      </c>
      <c r="I845" s="2">
        <f>VLOOKUP(C845,[1]Sheet1!$C:$G,5,FALSE)</f>
        <v>21.62</v>
      </c>
      <c r="J845" s="33">
        <f t="shared" si="13"/>
        <v>4.9999999999999975E-2</v>
      </c>
    </row>
    <row r="846" spans="1:10" x14ac:dyDescent="0.3">
      <c r="A846" s="20" t="s">
        <v>401</v>
      </c>
      <c r="B846" s="8" t="s">
        <v>509</v>
      </c>
      <c r="C846" s="8" t="s">
        <v>626</v>
      </c>
      <c r="D846" s="40">
        <v>5056003718812</v>
      </c>
      <c r="E846" s="9" t="s">
        <v>627</v>
      </c>
      <c r="F846" s="9" t="s">
        <v>476</v>
      </c>
      <c r="G846" s="31" t="s">
        <v>92</v>
      </c>
      <c r="I846" s="2" t="str">
        <f>VLOOKUP(C846,[1]Sheet1!$C:$G,5,FALSE)</f>
        <v>POA</v>
      </c>
      <c r="J846" s="33"/>
    </row>
    <row r="847" spans="1:10" x14ac:dyDescent="0.3">
      <c r="A847" s="20" t="s">
        <v>401</v>
      </c>
      <c r="B847" s="8" t="s">
        <v>509</v>
      </c>
      <c r="C847" s="8" t="s">
        <v>628</v>
      </c>
      <c r="D847" s="40">
        <v>5056003701265</v>
      </c>
      <c r="E847" s="9" t="s">
        <v>627</v>
      </c>
      <c r="F847" s="9" t="s">
        <v>407</v>
      </c>
      <c r="G847" s="31">
        <v>90.814499999999995</v>
      </c>
      <c r="I847" s="2">
        <f>VLOOKUP(C847,[1]Sheet1!$C:$G,5,FALSE)</f>
        <v>86.49</v>
      </c>
      <c r="J847" s="33">
        <f t="shared" si="13"/>
        <v>5.000000000000001E-2</v>
      </c>
    </row>
    <row r="848" spans="1:10" x14ac:dyDescent="0.3">
      <c r="A848" s="20" t="s">
        <v>401</v>
      </c>
      <c r="B848" s="8" t="s">
        <v>509</v>
      </c>
      <c r="C848" s="8" t="s">
        <v>629</v>
      </c>
      <c r="D848" s="40">
        <v>5056003718782</v>
      </c>
      <c r="E848" s="9" t="s">
        <v>630</v>
      </c>
      <c r="F848" s="9" t="s">
        <v>421</v>
      </c>
      <c r="G848" s="31">
        <v>15.309000000000001</v>
      </c>
      <c r="I848" s="2">
        <f>VLOOKUP(C848,[1]Sheet1!$C:$G,5,FALSE)</f>
        <v>14.58</v>
      </c>
      <c r="J848" s="33">
        <f t="shared" si="13"/>
        <v>5.0000000000000065E-2</v>
      </c>
    </row>
    <row r="849" spans="1:10" x14ac:dyDescent="0.3">
      <c r="A849" s="20" t="s">
        <v>401</v>
      </c>
      <c r="B849" s="8" t="s">
        <v>509</v>
      </c>
      <c r="C849" s="8" t="s">
        <v>631</v>
      </c>
      <c r="D849" s="40">
        <v>5056003705355</v>
      </c>
      <c r="E849" s="9" t="s">
        <v>632</v>
      </c>
      <c r="F849" s="9" t="s">
        <v>421</v>
      </c>
      <c r="G849" s="31">
        <v>20.336000000000002</v>
      </c>
      <c r="I849" s="2">
        <f>VLOOKUP(C849,[1]Sheet1!$C:$G,5,FALSE)</f>
        <v>12.71</v>
      </c>
      <c r="J849" s="33">
        <f t="shared" si="13"/>
        <v>0.60000000000000009</v>
      </c>
    </row>
    <row r="850" spans="1:10" x14ac:dyDescent="0.3">
      <c r="A850" s="20" t="s">
        <v>401</v>
      </c>
      <c r="B850" s="8" t="s">
        <v>509</v>
      </c>
      <c r="C850" s="8" t="s">
        <v>633</v>
      </c>
      <c r="D850" s="40">
        <v>5056003704242</v>
      </c>
      <c r="E850" s="9" t="s">
        <v>634</v>
      </c>
      <c r="F850" s="9" t="s">
        <v>421</v>
      </c>
      <c r="G850" s="31">
        <v>158.91749999999999</v>
      </c>
      <c r="I850" s="2">
        <f>VLOOKUP(C850,[1]Sheet1!$C:$G,5,FALSE)</f>
        <v>151.35</v>
      </c>
      <c r="J850" s="33">
        <f t="shared" si="13"/>
        <v>4.9999999999999975E-2</v>
      </c>
    </row>
    <row r="851" spans="1:10" x14ac:dyDescent="0.3">
      <c r="A851" s="20" t="s">
        <v>401</v>
      </c>
      <c r="B851" s="8" t="s">
        <v>509</v>
      </c>
      <c r="C851" s="8" t="s">
        <v>635</v>
      </c>
      <c r="D851" s="40">
        <v>5056003702965</v>
      </c>
      <c r="E851" s="9" t="s">
        <v>636</v>
      </c>
      <c r="F851" s="9" t="s">
        <v>421</v>
      </c>
      <c r="G851" s="31" t="s">
        <v>92</v>
      </c>
      <c r="I851" s="2" t="str">
        <f>VLOOKUP(C851,[1]Sheet1!$C:$G,5,FALSE)</f>
        <v>POA</v>
      </c>
      <c r="J851" s="33"/>
    </row>
    <row r="852" spans="1:10" x14ac:dyDescent="0.3">
      <c r="A852" s="20" t="s">
        <v>401</v>
      </c>
      <c r="B852" s="8" t="s">
        <v>509</v>
      </c>
      <c r="C852" s="8" t="s">
        <v>637</v>
      </c>
      <c r="D852" s="40">
        <v>5056003718713</v>
      </c>
      <c r="E852" s="9" t="s">
        <v>638</v>
      </c>
      <c r="F852" s="9" t="s">
        <v>421</v>
      </c>
      <c r="G852" s="31" t="s">
        <v>92</v>
      </c>
      <c r="I852" s="2" t="str">
        <f>VLOOKUP(C852,[1]Sheet1!$C:$G,5,FALSE)</f>
        <v>POA</v>
      </c>
      <c r="J852" s="33"/>
    </row>
    <row r="853" spans="1:10" x14ac:dyDescent="0.3">
      <c r="A853" s="20" t="s">
        <v>401</v>
      </c>
      <c r="B853" s="8" t="s">
        <v>509</v>
      </c>
      <c r="C853" s="8" t="s">
        <v>639</v>
      </c>
      <c r="D853" s="40">
        <v>5056003706086</v>
      </c>
      <c r="E853" s="9" t="s">
        <v>640</v>
      </c>
      <c r="F853" s="9" t="s">
        <v>421</v>
      </c>
      <c r="G853" s="31">
        <v>17.3995</v>
      </c>
      <c r="I853" s="2">
        <f>VLOOKUP(C853,[1]Sheet1!$C:$G,5,FALSE)</f>
        <v>15.13</v>
      </c>
      <c r="J853" s="33">
        <f t="shared" si="13"/>
        <v>0.14999999999999991</v>
      </c>
    </row>
    <row r="854" spans="1:10" x14ac:dyDescent="0.3">
      <c r="A854" s="20" t="s">
        <v>401</v>
      </c>
      <c r="B854" s="8" t="s">
        <v>509</v>
      </c>
      <c r="C854" s="8" t="s">
        <v>641</v>
      </c>
      <c r="D854" s="40">
        <v>5056003706031</v>
      </c>
      <c r="E854" s="9" t="s">
        <v>642</v>
      </c>
      <c r="F854" s="9" t="s">
        <v>421</v>
      </c>
      <c r="G854" s="31">
        <v>5.8485000000000005</v>
      </c>
      <c r="I854" s="2">
        <f>VLOOKUP(C854,[1]Sheet1!$C:$G,5,FALSE)</f>
        <v>5.57</v>
      </c>
      <c r="J854" s="33">
        <f t="shared" si="13"/>
        <v>5.0000000000000031E-2</v>
      </c>
    </row>
    <row r="855" spans="1:10" x14ac:dyDescent="0.3">
      <c r="A855" s="20" t="s">
        <v>401</v>
      </c>
      <c r="B855" s="8" t="s">
        <v>509</v>
      </c>
      <c r="C855" s="8" t="s">
        <v>643</v>
      </c>
      <c r="D855" s="40">
        <v>5056003718607</v>
      </c>
      <c r="E855" s="9" t="s">
        <v>644</v>
      </c>
      <c r="F855" s="9" t="s">
        <v>476</v>
      </c>
      <c r="G855" s="31" t="s">
        <v>92</v>
      </c>
      <c r="I855" s="2" t="str">
        <f>VLOOKUP(C855,[1]Sheet1!$C:$G,5,FALSE)</f>
        <v>POA</v>
      </c>
      <c r="J855" s="33"/>
    </row>
    <row r="856" spans="1:10" x14ac:dyDescent="0.3">
      <c r="A856" s="20" t="s">
        <v>401</v>
      </c>
      <c r="B856" s="8" t="s">
        <v>509</v>
      </c>
      <c r="C856" s="8" t="s">
        <v>645</v>
      </c>
      <c r="D856" s="40">
        <v>5056003718591</v>
      </c>
      <c r="E856" s="9" t="s">
        <v>646</v>
      </c>
      <c r="F856" s="9" t="s">
        <v>407</v>
      </c>
      <c r="G856" s="31" t="s">
        <v>92</v>
      </c>
      <c r="I856" s="2" t="str">
        <f>VLOOKUP(C856,[1]Sheet1!$C:$G,5,FALSE)</f>
        <v>POA</v>
      </c>
      <c r="J856" s="33"/>
    </row>
    <row r="857" spans="1:10" x14ac:dyDescent="0.3">
      <c r="A857" s="20" t="s">
        <v>401</v>
      </c>
      <c r="B857" s="8" t="s">
        <v>509</v>
      </c>
      <c r="C857" s="8" t="s">
        <v>647</v>
      </c>
      <c r="D857" s="40">
        <v>5056003705287</v>
      </c>
      <c r="E857" s="9" t="s">
        <v>648</v>
      </c>
      <c r="F857" s="9" t="s">
        <v>476</v>
      </c>
      <c r="G857" s="31">
        <v>77.836500000000001</v>
      </c>
      <c r="I857" s="2">
        <f>VLOOKUP(C857,[1]Sheet1!$C:$G,5,FALSE)</f>
        <v>74.13</v>
      </c>
      <c r="J857" s="33">
        <f t="shared" si="13"/>
        <v>5.0000000000000079E-2</v>
      </c>
    </row>
    <row r="858" spans="1:10" x14ac:dyDescent="0.3">
      <c r="A858" s="20" t="s">
        <v>401</v>
      </c>
      <c r="B858" s="8" t="s">
        <v>509</v>
      </c>
      <c r="C858" s="8" t="s">
        <v>649</v>
      </c>
      <c r="D858" s="40">
        <v>5056003716382</v>
      </c>
      <c r="E858" s="9" t="s">
        <v>650</v>
      </c>
      <c r="F858" s="9" t="s">
        <v>421</v>
      </c>
      <c r="G858" s="31">
        <v>79.072000000000003</v>
      </c>
      <c r="I858" s="2">
        <f>VLOOKUP(C858,[1]Sheet1!$C:$G,5,FALSE)</f>
        <v>49.42</v>
      </c>
      <c r="J858" s="33">
        <f t="shared" si="13"/>
        <v>0.6</v>
      </c>
    </row>
    <row r="859" spans="1:10" x14ac:dyDescent="0.3">
      <c r="A859" s="20" t="s">
        <v>401</v>
      </c>
      <c r="B859" s="8" t="s">
        <v>509</v>
      </c>
      <c r="C859" s="8" t="s">
        <v>651</v>
      </c>
      <c r="D859" s="40">
        <v>5056003772227</v>
      </c>
      <c r="E859" s="9" t="s">
        <v>652</v>
      </c>
      <c r="F859" s="9" t="s">
        <v>437</v>
      </c>
      <c r="G859" s="31">
        <v>176.42100000000002</v>
      </c>
      <c r="I859" s="2">
        <f>VLOOKUP(C859,[1]Sheet1!$C:$G,5,FALSE)</f>
        <v>168.02</v>
      </c>
      <c r="J859" s="33">
        <f t="shared" si="13"/>
        <v>5.0000000000000058E-2</v>
      </c>
    </row>
    <row r="860" spans="1:10" x14ac:dyDescent="0.3">
      <c r="A860" s="20" t="s">
        <v>401</v>
      </c>
      <c r="B860" s="8" t="s">
        <v>509</v>
      </c>
      <c r="C860" s="8" t="s">
        <v>653</v>
      </c>
      <c r="D860" s="40">
        <v>5056003772234</v>
      </c>
      <c r="E860" s="9" t="s">
        <v>652</v>
      </c>
      <c r="F860" s="9" t="s">
        <v>407</v>
      </c>
      <c r="G860" s="31">
        <v>176.42100000000002</v>
      </c>
      <c r="I860" s="2">
        <f>VLOOKUP(C860,[1]Sheet1!$C:$G,5,FALSE)</f>
        <v>168.02</v>
      </c>
      <c r="J860" s="33">
        <f t="shared" si="13"/>
        <v>5.0000000000000058E-2</v>
      </c>
    </row>
    <row r="861" spans="1:10" x14ac:dyDescent="0.3">
      <c r="A861" s="20" t="s">
        <v>401</v>
      </c>
      <c r="B861" s="8" t="s">
        <v>654</v>
      </c>
      <c r="C861" s="8" t="s">
        <v>655</v>
      </c>
      <c r="D861" s="40">
        <v>5056003706093</v>
      </c>
      <c r="E861" s="9" t="s">
        <v>200</v>
      </c>
      <c r="F861" s="9" t="s">
        <v>656</v>
      </c>
      <c r="G861" s="31">
        <v>590.226</v>
      </c>
      <c r="I861" s="2">
        <f>VLOOKUP(C861,[1]Sheet1!$C:$G,5,FALSE)</f>
        <v>562.12</v>
      </c>
      <c r="J861" s="33">
        <f t="shared" si="13"/>
        <v>4.9999999999999989E-2</v>
      </c>
    </row>
    <row r="862" spans="1:10" x14ac:dyDescent="0.3">
      <c r="A862" s="20" t="s">
        <v>401</v>
      </c>
      <c r="B862" s="8" t="s">
        <v>654</v>
      </c>
      <c r="C862" s="8" t="s">
        <v>657</v>
      </c>
      <c r="D862" s="40">
        <v>5056003706215</v>
      </c>
      <c r="E862" s="9" t="s">
        <v>658</v>
      </c>
      <c r="F862" s="9" t="s">
        <v>656</v>
      </c>
      <c r="G862" s="31">
        <v>544.82400000000007</v>
      </c>
      <c r="I862" s="2">
        <f>VLOOKUP(C862,[1]Sheet1!$C:$G,5,FALSE)</f>
        <v>518.88</v>
      </c>
      <c r="J862" s="33">
        <f t="shared" si="13"/>
        <v>5.0000000000000142E-2</v>
      </c>
    </row>
    <row r="863" spans="1:10" x14ac:dyDescent="0.3">
      <c r="A863" s="20" t="s">
        <v>401</v>
      </c>
      <c r="B863" s="8" t="s">
        <v>654</v>
      </c>
      <c r="C863" s="8" t="s">
        <v>659</v>
      </c>
      <c r="D863" s="40">
        <v>5056003706307</v>
      </c>
      <c r="E863" s="9" t="s">
        <v>660</v>
      </c>
      <c r="F863" s="9" t="s">
        <v>656</v>
      </c>
      <c r="G863" s="31">
        <v>168</v>
      </c>
      <c r="I863" s="2">
        <f>VLOOKUP(C863,[1]Sheet1!$C:$G,5,FALSE)</f>
        <v>160</v>
      </c>
      <c r="J863" s="33">
        <f t="shared" si="13"/>
        <v>0.05</v>
      </c>
    </row>
    <row r="864" spans="1:10" x14ac:dyDescent="0.3">
      <c r="A864" s="20" t="s">
        <v>401</v>
      </c>
      <c r="B864" s="8" t="s">
        <v>654</v>
      </c>
      <c r="C864" s="8" t="s">
        <v>661</v>
      </c>
      <c r="D864" s="40">
        <v>5056003706017</v>
      </c>
      <c r="E864" s="9" t="s">
        <v>662</v>
      </c>
      <c r="F864" s="9" t="s">
        <v>656</v>
      </c>
      <c r="G864" s="31">
        <v>22.47</v>
      </c>
      <c r="I864" s="2">
        <f>VLOOKUP(C864,[1]Sheet1!$C:$G,5,FALSE)</f>
        <v>21.4</v>
      </c>
      <c r="J864" s="33">
        <f t="shared" si="13"/>
        <v>5.0000000000000017E-2</v>
      </c>
    </row>
    <row r="865" spans="1:10" x14ac:dyDescent="0.3">
      <c r="A865" s="20" t="s">
        <v>401</v>
      </c>
      <c r="B865" s="8" t="s">
        <v>654</v>
      </c>
      <c r="C865" s="8" t="s">
        <v>663</v>
      </c>
      <c r="D865" s="40">
        <v>5056003706024</v>
      </c>
      <c r="E865" s="9" t="s">
        <v>664</v>
      </c>
      <c r="F865" s="9" t="s">
        <v>656</v>
      </c>
      <c r="G865" s="31">
        <v>39.525499999999994</v>
      </c>
      <c r="I865" s="2">
        <f>VLOOKUP(C865,[1]Sheet1!$C:$G,5,FALSE)</f>
        <v>34.369999999999997</v>
      </c>
      <c r="J865" s="33">
        <f t="shared" si="13"/>
        <v>0.14999999999999991</v>
      </c>
    </row>
    <row r="866" spans="1:10" x14ac:dyDescent="0.3">
      <c r="A866" s="20" t="s">
        <v>401</v>
      </c>
      <c r="B866" s="8" t="s">
        <v>654</v>
      </c>
      <c r="C866" s="8" t="s">
        <v>665</v>
      </c>
      <c r="D866" s="40">
        <v>5056003706314</v>
      </c>
      <c r="E866" s="9" t="s">
        <v>666</v>
      </c>
      <c r="F866" s="9" t="s">
        <v>656</v>
      </c>
      <c r="G866" s="31" t="s">
        <v>92</v>
      </c>
      <c r="I866" s="2" t="str">
        <f>VLOOKUP(C866,[1]Sheet1!$C:$G,5,FALSE)</f>
        <v>POA</v>
      </c>
      <c r="J866" s="33"/>
    </row>
    <row r="867" spans="1:10" x14ac:dyDescent="0.3">
      <c r="A867" s="20" t="s">
        <v>401</v>
      </c>
      <c r="B867" s="8" t="s">
        <v>654</v>
      </c>
      <c r="C867" s="8" t="s">
        <v>667</v>
      </c>
      <c r="D867" s="40">
        <v>5056003706222</v>
      </c>
      <c r="E867" s="9" t="s">
        <v>668</v>
      </c>
      <c r="F867" s="9" t="s">
        <v>656</v>
      </c>
      <c r="G867" s="31">
        <v>788.70400000000006</v>
      </c>
      <c r="I867" s="2">
        <f>VLOOKUP(C867,[1]Sheet1!$C:$G,5,FALSE)</f>
        <v>246.47</v>
      </c>
      <c r="J867" s="33">
        <f t="shared" ref="J867:J930" si="14">(G867-I867)/I867</f>
        <v>2.2000000000000002</v>
      </c>
    </row>
    <row r="868" spans="1:10" x14ac:dyDescent="0.3">
      <c r="A868" s="20" t="s">
        <v>401</v>
      </c>
      <c r="B868" s="8" t="s">
        <v>654</v>
      </c>
      <c r="C868" s="8" t="s">
        <v>669</v>
      </c>
      <c r="D868" s="40">
        <v>5056003706239</v>
      </c>
      <c r="E868" s="9" t="s">
        <v>670</v>
      </c>
      <c r="F868" s="9" t="s">
        <v>656</v>
      </c>
      <c r="G868" s="30" t="s">
        <v>92</v>
      </c>
      <c r="I868" s="2">
        <f>VLOOKUP(C868,[1]Sheet1!$C:$G,5,FALSE)</f>
        <v>77.84</v>
      </c>
      <c r="J868" s="33"/>
    </row>
    <row r="869" spans="1:10" x14ac:dyDescent="0.3">
      <c r="A869" s="20" t="s">
        <v>401</v>
      </c>
      <c r="B869" s="8" t="s">
        <v>654</v>
      </c>
      <c r="C869" s="8" t="s">
        <v>671</v>
      </c>
      <c r="D869" s="40">
        <v>5056003706246</v>
      </c>
      <c r="E869" s="9" t="s">
        <v>672</v>
      </c>
      <c r="F869" s="9" t="s">
        <v>656</v>
      </c>
      <c r="G869" s="31">
        <v>68.103000000000009</v>
      </c>
      <c r="I869" s="2">
        <f>VLOOKUP(C869,[1]Sheet1!$C:$G,5,FALSE)</f>
        <v>64.86</v>
      </c>
      <c r="J869" s="33">
        <f t="shared" si="14"/>
        <v>5.0000000000000142E-2</v>
      </c>
    </row>
    <row r="870" spans="1:10" x14ac:dyDescent="0.3">
      <c r="A870" s="20" t="s">
        <v>401</v>
      </c>
      <c r="B870" s="8" t="s">
        <v>654</v>
      </c>
      <c r="C870" s="8" t="s">
        <v>673</v>
      </c>
      <c r="D870" s="40">
        <v>5056003706321</v>
      </c>
      <c r="E870" s="9" t="s">
        <v>674</v>
      </c>
      <c r="F870" s="9" t="s">
        <v>656</v>
      </c>
      <c r="G870" s="31">
        <v>22.701000000000001</v>
      </c>
      <c r="I870" s="2">
        <f>VLOOKUP(C870,[1]Sheet1!$C:$G,5,FALSE)</f>
        <v>21.62</v>
      </c>
      <c r="J870" s="33">
        <f t="shared" si="14"/>
        <v>4.9999999999999975E-2</v>
      </c>
    </row>
    <row r="871" spans="1:10" x14ac:dyDescent="0.3">
      <c r="A871" s="20" t="s">
        <v>401</v>
      </c>
      <c r="B871" s="8" t="s">
        <v>654</v>
      </c>
      <c r="C871" s="8" t="s">
        <v>675</v>
      </c>
      <c r="D871" s="40">
        <v>5056003706253</v>
      </c>
      <c r="E871" s="9" t="s">
        <v>676</v>
      </c>
      <c r="F871" s="9" t="s">
        <v>656</v>
      </c>
      <c r="G871" s="31">
        <v>36.319500000000005</v>
      </c>
      <c r="I871" s="2">
        <f>VLOOKUP(C871,[1]Sheet1!$C:$G,5,FALSE)</f>
        <v>34.590000000000003</v>
      </c>
      <c r="J871" s="33">
        <f t="shared" si="14"/>
        <v>5.0000000000000044E-2</v>
      </c>
    </row>
    <row r="872" spans="1:10" x14ac:dyDescent="0.3">
      <c r="A872" s="20" t="s">
        <v>401</v>
      </c>
      <c r="B872" s="8" t="s">
        <v>654</v>
      </c>
      <c r="C872" s="8" t="s">
        <v>677</v>
      </c>
      <c r="D872" s="40">
        <v>5056003706338</v>
      </c>
      <c r="E872" s="9" t="s">
        <v>678</v>
      </c>
      <c r="F872" s="9" t="s">
        <v>656</v>
      </c>
      <c r="G872" s="31" t="s">
        <v>92</v>
      </c>
      <c r="I872" s="2" t="str">
        <f>VLOOKUP(C872,[1]Sheet1!$C:$G,5,FALSE)</f>
        <v>POA</v>
      </c>
      <c r="J872" s="33"/>
    </row>
    <row r="873" spans="1:10" x14ac:dyDescent="0.3">
      <c r="A873" s="20" t="s">
        <v>401</v>
      </c>
      <c r="B873" s="8" t="s">
        <v>654</v>
      </c>
      <c r="C873" s="8" t="s">
        <v>679</v>
      </c>
      <c r="D873" s="40">
        <v>5056003706277</v>
      </c>
      <c r="E873" s="9" t="s">
        <v>680</v>
      </c>
      <c r="F873" s="9" t="s">
        <v>656</v>
      </c>
      <c r="G873" s="31">
        <v>6.8145000000000007</v>
      </c>
      <c r="I873" s="2">
        <f>VLOOKUP(C873,[1]Sheet1!$C:$G,5,FALSE)</f>
        <v>6.49</v>
      </c>
      <c r="J873" s="33">
        <f t="shared" si="14"/>
        <v>5.0000000000000065E-2</v>
      </c>
    </row>
    <row r="874" spans="1:10" x14ac:dyDescent="0.3">
      <c r="A874" s="20" t="s">
        <v>401</v>
      </c>
      <c r="B874" s="8" t="s">
        <v>654</v>
      </c>
      <c r="C874" s="8" t="s">
        <v>681</v>
      </c>
      <c r="D874" s="40">
        <v>5056003706260</v>
      </c>
      <c r="E874" s="9" t="s">
        <v>682</v>
      </c>
      <c r="F874" s="9" t="s">
        <v>656</v>
      </c>
      <c r="G874" s="31">
        <v>6.8145000000000007</v>
      </c>
      <c r="I874" s="2">
        <f>VLOOKUP(C874,[1]Sheet1!$C:$G,5,FALSE)</f>
        <v>6.49</v>
      </c>
      <c r="J874" s="33">
        <f t="shared" si="14"/>
        <v>5.0000000000000065E-2</v>
      </c>
    </row>
    <row r="875" spans="1:10" x14ac:dyDescent="0.3">
      <c r="A875" s="20" t="s">
        <v>401</v>
      </c>
      <c r="B875" s="8" t="s">
        <v>654</v>
      </c>
      <c r="C875" s="8" t="s">
        <v>683</v>
      </c>
      <c r="D875" s="40">
        <v>5056003706284</v>
      </c>
      <c r="E875" s="9" t="s">
        <v>684</v>
      </c>
      <c r="F875" s="9" t="s">
        <v>656</v>
      </c>
      <c r="G875" s="31">
        <v>20.433000000000003</v>
      </c>
      <c r="I875" s="2">
        <f>VLOOKUP(C875,[1]Sheet1!$C:$G,5,FALSE)</f>
        <v>19.46</v>
      </c>
      <c r="J875" s="33">
        <f t="shared" si="14"/>
        <v>5.0000000000000128E-2</v>
      </c>
    </row>
    <row r="876" spans="1:10" x14ac:dyDescent="0.3">
      <c r="A876" s="20" t="s">
        <v>401</v>
      </c>
      <c r="B876" s="8" t="s">
        <v>654</v>
      </c>
      <c r="C876" s="8" t="s">
        <v>685</v>
      </c>
      <c r="D876" s="40">
        <v>5056003706840</v>
      </c>
      <c r="E876" s="9" t="s">
        <v>686</v>
      </c>
      <c r="F876" s="9" t="s">
        <v>656</v>
      </c>
      <c r="G876" s="31">
        <v>20.433000000000003</v>
      </c>
      <c r="I876" s="2">
        <f>VLOOKUP(C876,[1]Sheet1!$C:$G,5,FALSE)</f>
        <v>19.46</v>
      </c>
      <c r="J876" s="33">
        <f t="shared" si="14"/>
        <v>5.0000000000000128E-2</v>
      </c>
    </row>
    <row r="877" spans="1:10" x14ac:dyDescent="0.3">
      <c r="A877" s="20" t="s">
        <v>401</v>
      </c>
      <c r="B877" s="8" t="s">
        <v>654</v>
      </c>
      <c r="C877" s="8" t="s">
        <v>687</v>
      </c>
      <c r="D877" s="40">
        <v>5056003706345</v>
      </c>
      <c r="E877" s="9" t="s">
        <v>688</v>
      </c>
      <c r="F877" s="9" t="s">
        <v>656</v>
      </c>
      <c r="G877" s="31" t="s">
        <v>92</v>
      </c>
      <c r="I877" s="2" t="str">
        <f>VLOOKUP(C877,[1]Sheet1!$C:$G,5,FALSE)</f>
        <v>POA</v>
      </c>
      <c r="J877" s="33"/>
    </row>
    <row r="878" spans="1:10" x14ac:dyDescent="0.3">
      <c r="A878" s="20" t="s">
        <v>401</v>
      </c>
      <c r="B878" s="8" t="s">
        <v>654</v>
      </c>
      <c r="C878" s="8" t="s">
        <v>689</v>
      </c>
      <c r="D878" s="40">
        <v>5056003706352</v>
      </c>
      <c r="E878" s="9" t="s">
        <v>690</v>
      </c>
      <c r="F878" s="9" t="s">
        <v>656</v>
      </c>
      <c r="G878" s="31" t="s">
        <v>92</v>
      </c>
      <c r="I878" s="2" t="str">
        <f>VLOOKUP(C878,[1]Sheet1!$C:$G,5,FALSE)</f>
        <v>POA</v>
      </c>
      <c r="J878" s="33"/>
    </row>
    <row r="879" spans="1:10" x14ac:dyDescent="0.3">
      <c r="A879" s="20" t="s">
        <v>401</v>
      </c>
      <c r="B879" s="8" t="s">
        <v>654</v>
      </c>
      <c r="C879" s="8" t="s">
        <v>691</v>
      </c>
      <c r="D879" s="40">
        <v>5056003706369</v>
      </c>
      <c r="E879" s="9" t="s">
        <v>692</v>
      </c>
      <c r="F879" s="9" t="s">
        <v>656</v>
      </c>
      <c r="G879" s="31" t="s">
        <v>92</v>
      </c>
      <c r="I879" s="2" t="str">
        <f>VLOOKUP(C879,[1]Sheet1!$C:$G,5,FALSE)</f>
        <v>POA</v>
      </c>
      <c r="J879" s="33"/>
    </row>
    <row r="880" spans="1:10" x14ac:dyDescent="0.3">
      <c r="A880" s="20" t="s">
        <v>401</v>
      </c>
      <c r="B880" s="8" t="s">
        <v>654</v>
      </c>
      <c r="C880" s="8" t="s">
        <v>693</v>
      </c>
      <c r="D880" s="40">
        <v>5056003706376</v>
      </c>
      <c r="E880" s="9" t="s">
        <v>694</v>
      </c>
      <c r="F880" s="9" t="s">
        <v>656</v>
      </c>
      <c r="G880" s="31" t="s">
        <v>92</v>
      </c>
      <c r="I880" s="2" t="str">
        <f>VLOOKUP(C880,[1]Sheet1!$C:$G,5,FALSE)</f>
        <v>POA</v>
      </c>
      <c r="J880" s="33"/>
    </row>
    <row r="881" spans="1:10" x14ac:dyDescent="0.3">
      <c r="A881" s="20" t="s">
        <v>401</v>
      </c>
      <c r="B881" s="8" t="s">
        <v>654</v>
      </c>
      <c r="C881" s="8" t="s">
        <v>695</v>
      </c>
      <c r="D881" s="40">
        <v>5056003706628</v>
      </c>
      <c r="E881" s="9" t="s">
        <v>696</v>
      </c>
      <c r="F881" s="9" t="s">
        <v>656</v>
      </c>
      <c r="G881" s="31">
        <v>544.82400000000007</v>
      </c>
      <c r="I881" s="2">
        <f>VLOOKUP(C881,[1]Sheet1!$C:$G,5,FALSE)</f>
        <v>518.88</v>
      </c>
      <c r="J881" s="33">
        <f t="shared" si="14"/>
        <v>5.0000000000000142E-2</v>
      </c>
    </row>
    <row r="882" spans="1:10" x14ac:dyDescent="0.3">
      <c r="A882" s="20" t="s">
        <v>401</v>
      </c>
      <c r="B882" s="8" t="s">
        <v>654</v>
      </c>
      <c r="C882" s="8" t="s">
        <v>697</v>
      </c>
      <c r="D882" s="40">
        <v>5056003707014</v>
      </c>
      <c r="E882" s="9" t="s">
        <v>698</v>
      </c>
      <c r="F882" s="9" t="s">
        <v>656</v>
      </c>
      <c r="G882" s="31">
        <v>6.8145000000000007</v>
      </c>
      <c r="I882" s="2">
        <f>VLOOKUP(C882,[1]Sheet1!$C:$G,5,FALSE)</f>
        <v>6.49</v>
      </c>
      <c r="J882" s="33">
        <f t="shared" si="14"/>
        <v>5.0000000000000065E-2</v>
      </c>
    </row>
    <row r="883" spans="1:10" x14ac:dyDescent="0.3">
      <c r="A883" s="20" t="s">
        <v>401</v>
      </c>
      <c r="B883" s="8" t="s">
        <v>654</v>
      </c>
      <c r="C883" s="8" t="s">
        <v>699</v>
      </c>
      <c r="D883" s="40">
        <v>5056003707007</v>
      </c>
      <c r="E883" s="9" t="s">
        <v>700</v>
      </c>
      <c r="F883" s="9" t="s">
        <v>656</v>
      </c>
      <c r="G883" s="31">
        <v>6.8145000000000007</v>
      </c>
      <c r="I883" s="2">
        <f>VLOOKUP(C883,[1]Sheet1!$C:$G,5,FALSE)</f>
        <v>6.49</v>
      </c>
      <c r="J883" s="33">
        <f t="shared" si="14"/>
        <v>5.0000000000000065E-2</v>
      </c>
    </row>
    <row r="884" spans="1:10" x14ac:dyDescent="0.3">
      <c r="A884" s="20" t="s">
        <v>401</v>
      </c>
      <c r="B884" s="8" t="s">
        <v>654</v>
      </c>
      <c r="C884" s="8" t="s">
        <v>1919</v>
      </c>
      <c r="D884" s="40">
        <v>5056003778229</v>
      </c>
      <c r="E884" s="25" t="s">
        <v>1920</v>
      </c>
      <c r="F884" s="9" t="s">
        <v>656</v>
      </c>
      <c r="G884" s="31">
        <v>9.302999999999999</v>
      </c>
      <c r="I884" s="2">
        <f>VLOOKUP(C884,[1]Sheet1!$C:$G,5,FALSE)</f>
        <v>8.86</v>
      </c>
      <c r="J884" s="33">
        <f t="shared" si="14"/>
        <v>4.9999999999999961E-2</v>
      </c>
    </row>
    <row r="885" spans="1:10" x14ac:dyDescent="0.3">
      <c r="A885" s="20" t="s">
        <v>401</v>
      </c>
      <c r="B885" s="8" t="s">
        <v>654</v>
      </c>
      <c r="C885" s="8" t="s">
        <v>701</v>
      </c>
      <c r="D885" s="40">
        <v>5056003718508</v>
      </c>
      <c r="E885" s="9" t="s">
        <v>702</v>
      </c>
      <c r="F885" s="9" t="s">
        <v>703</v>
      </c>
      <c r="G885" s="31" t="s">
        <v>92</v>
      </c>
      <c r="I885" s="2" t="str">
        <f>VLOOKUP(C885,[1]Sheet1!$C:$G,5,FALSE)</f>
        <v>POA</v>
      </c>
      <c r="J885" s="33"/>
    </row>
    <row r="886" spans="1:10" x14ac:dyDescent="0.3">
      <c r="A886" s="20" t="s">
        <v>401</v>
      </c>
      <c r="B886" s="8" t="s">
        <v>654</v>
      </c>
      <c r="C886" s="8" t="s">
        <v>704</v>
      </c>
      <c r="D886" s="40">
        <v>5056003718492</v>
      </c>
      <c r="E886" s="9" t="s">
        <v>702</v>
      </c>
      <c r="F886" s="9" t="s">
        <v>705</v>
      </c>
      <c r="G886" s="31" t="s">
        <v>92</v>
      </c>
      <c r="I886" s="2" t="str">
        <f>VLOOKUP(C886,[1]Sheet1!$C:$G,5,FALSE)</f>
        <v>POA</v>
      </c>
      <c r="J886" s="33"/>
    </row>
    <row r="887" spans="1:10" x14ac:dyDescent="0.3">
      <c r="A887" s="20" t="s">
        <v>401</v>
      </c>
      <c r="B887" s="8" t="s">
        <v>654</v>
      </c>
      <c r="C887" s="8" t="s">
        <v>706</v>
      </c>
      <c r="D887" s="40">
        <v>5056003718485</v>
      </c>
      <c r="E887" s="9" t="s">
        <v>707</v>
      </c>
      <c r="F887" s="9" t="s">
        <v>708</v>
      </c>
      <c r="G887" s="31" t="s">
        <v>92</v>
      </c>
      <c r="I887" s="2" t="str">
        <f>VLOOKUP(C887,[1]Sheet1!$C:$G,5,FALSE)</f>
        <v>POA</v>
      </c>
      <c r="J887" s="33"/>
    </row>
    <row r="888" spans="1:10" x14ac:dyDescent="0.3">
      <c r="A888" s="26" t="s">
        <v>828</v>
      </c>
      <c r="B888" s="8" t="s">
        <v>1087</v>
      </c>
      <c r="C888" s="25" t="s">
        <v>1211</v>
      </c>
      <c r="D888" s="40">
        <v>20012046</v>
      </c>
      <c r="E888" s="12" t="s">
        <v>1172</v>
      </c>
      <c r="F888" s="12" t="s">
        <v>1154</v>
      </c>
      <c r="G888" s="31">
        <v>18.059999999999999</v>
      </c>
      <c r="I888" s="2">
        <f>VLOOKUP(C888,[1]Sheet1!$C:$G,5,FALSE)</f>
        <v>17.2</v>
      </c>
      <c r="J888" s="33">
        <f t="shared" si="14"/>
        <v>4.9999999999999968E-2</v>
      </c>
    </row>
    <row r="889" spans="1:10" x14ac:dyDescent="0.3">
      <c r="A889" s="26" t="s">
        <v>828</v>
      </c>
      <c r="B889" s="8" t="s">
        <v>1087</v>
      </c>
      <c r="C889" s="25" t="s">
        <v>1212</v>
      </c>
      <c r="D889" s="40">
        <v>20018545</v>
      </c>
      <c r="E889" s="9" t="s">
        <v>1213</v>
      </c>
      <c r="F889" s="9" t="s">
        <v>1214</v>
      </c>
      <c r="G889" s="31">
        <v>16.6005</v>
      </c>
      <c r="I889" s="2">
        <f>VLOOKUP(C889,[1]Sheet1!$C:$G,5,FALSE)</f>
        <v>15.81</v>
      </c>
      <c r="J889" s="33">
        <f t="shared" si="14"/>
        <v>4.9999999999999982E-2</v>
      </c>
    </row>
    <row r="890" spans="1:10" x14ac:dyDescent="0.3">
      <c r="A890" s="26" t="s">
        <v>828</v>
      </c>
      <c r="B890" s="8" t="s">
        <v>1087</v>
      </c>
      <c r="C890" s="25" t="s">
        <v>1215</v>
      </c>
      <c r="D890" s="40">
        <v>20018693</v>
      </c>
      <c r="E890" s="9" t="s">
        <v>1216</v>
      </c>
      <c r="F890" s="9" t="s">
        <v>1214</v>
      </c>
      <c r="G890" s="31">
        <v>28.434000000000001</v>
      </c>
      <c r="I890" s="2">
        <f>VLOOKUP(C890,[1]Sheet1!$C:$G,5,FALSE)</f>
        <v>27.08</v>
      </c>
      <c r="J890" s="33">
        <f t="shared" si="14"/>
        <v>5.0000000000000107E-2</v>
      </c>
    </row>
    <row r="891" spans="1:10" x14ac:dyDescent="0.3">
      <c r="A891" s="26" t="s">
        <v>828</v>
      </c>
      <c r="B891" s="8" t="s">
        <v>2328</v>
      </c>
      <c r="C891" s="8" t="s">
        <v>2273</v>
      </c>
      <c r="D891" s="40">
        <v>20019415</v>
      </c>
      <c r="E891" s="9" t="s">
        <v>2317</v>
      </c>
      <c r="F891" s="9" t="s">
        <v>1125</v>
      </c>
      <c r="G891" s="31">
        <v>8.342686800000001</v>
      </c>
      <c r="J891" s="33"/>
    </row>
    <row r="892" spans="1:10" x14ac:dyDescent="0.3">
      <c r="A892" s="26" t="s">
        <v>828</v>
      </c>
      <c r="B892" s="8" t="s">
        <v>2328</v>
      </c>
      <c r="C892" s="8" t="s">
        <v>2274</v>
      </c>
      <c r="D892" s="40">
        <v>20022601</v>
      </c>
      <c r="E892" s="9" t="s">
        <v>2318</v>
      </c>
      <c r="F892" s="9" t="s">
        <v>1125</v>
      </c>
      <c r="G892" s="31">
        <v>9.6866091000000001</v>
      </c>
      <c r="J892" s="33"/>
    </row>
    <row r="893" spans="1:10" x14ac:dyDescent="0.3">
      <c r="A893" s="26" t="s">
        <v>828</v>
      </c>
      <c r="B893" s="8" t="s">
        <v>1087</v>
      </c>
      <c r="C893" s="25" t="s">
        <v>1217</v>
      </c>
      <c r="D893" s="40">
        <v>20029299</v>
      </c>
      <c r="E893" s="9" t="s">
        <v>1218</v>
      </c>
      <c r="F893" s="9" t="s">
        <v>1125</v>
      </c>
      <c r="G893" s="31">
        <v>18.973500000000001</v>
      </c>
      <c r="I893" s="2">
        <f>VLOOKUP(C893,[1]Sheet1!$C:$G,5,FALSE)</f>
        <v>18.07</v>
      </c>
      <c r="J893" s="33">
        <f t="shared" si="14"/>
        <v>5.0000000000000058E-2</v>
      </c>
    </row>
    <row r="894" spans="1:10" x14ac:dyDescent="0.3">
      <c r="A894" s="26" t="s">
        <v>828</v>
      </c>
      <c r="B894" s="8" t="s">
        <v>1087</v>
      </c>
      <c r="C894" s="25" t="s">
        <v>1219</v>
      </c>
      <c r="D894" s="40">
        <v>20030780</v>
      </c>
      <c r="E894" s="9" t="s">
        <v>1220</v>
      </c>
      <c r="F894" s="9"/>
      <c r="G894" s="31" t="s">
        <v>92</v>
      </c>
      <c r="I894" s="2" t="str">
        <f>VLOOKUP(C894,[1]Sheet1!$C:$G,5,FALSE)</f>
        <v>POA</v>
      </c>
      <c r="J894" s="33"/>
    </row>
    <row r="895" spans="1:10" x14ac:dyDescent="0.3">
      <c r="A895" s="26" t="s">
        <v>828</v>
      </c>
      <c r="B895" s="8" t="s">
        <v>1087</v>
      </c>
      <c r="C895" s="25" t="s">
        <v>1221</v>
      </c>
      <c r="D895" s="40">
        <v>20030953</v>
      </c>
      <c r="E895" s="9" t="s">
        <v>993</v>
      </c>
      <c r="F895" s="9" t="s">
        <v>1097</v>
      </c>
      <c r="G895" s="31">
        <v>171.297</v>
      </c>
      <c r="I895" s="2">
        <f>VLOOKUP(C895,[1]Sheet1!$C:$G,5,FALSE)</f>
        <v>163.13999999999999</v>
      </c>
      <c r="J895" s="33">
        <f t="shared" si="14"/>
        <v>5.0000000000000072E-2</v>
      </c>
    </row>
    <row r="896" spans="1:10" x14ac:dyDescent="0.3">
      <c r="A896" s="26" t="s">
        <v>828</v>
      </c>
      <c r="B896" s="8" t="s">
        <v>1087</v>
      </c>
      <c r="C896" s="25" t="s">
        <v>1222</v>
      </c>
      <c r="D896" s="40">
        <v>20031996</v>
      </c>
      <c r="E896" s="9" t="s">
        <v>993</v>
      </c>
      <c r="F896" s="9" t="s">
        <v>1088</v>
      </c>
      <c r="G896" s="31">
        <v>167.66400000000002</v>
      </c>
      <c r="I896" s="2">
        <f>VLOOKUP(C896,[1]Sheet1!$C:$G,5,FALSE)</f>
        <v>159.68</v>
      </c>
      <c r="J896" s="33">
        <f t="shared" si="14"/>
        <v>5.0000000000000051E-2</v>
      </c>
    </row>
    <row r="897" spans="1:10" x14ac:dyDescent="0.3">
      <c r="A897" s="26" t="s">
        <v>828</v>
      </c>
      <c r="B897" s="8" t="s">
        <v>2328</v>
      </c>
      <c r="C897" s="8" t="s">
        <v>2275</v>
      </c>
      <c r="D897" s="40">
        <v>20031999</v>
      </c>
      <c r="E897" s="9" t="s">
        <v>2319</v>
      </c>
      <c r="F897" s="9" t="s">
        <v>1125</v>
      </c>
      <c r="G897" s="31">
        <v>64.707665399999996</v>
      </c>
      <c r="J897" s="33"/>
    </row>
    <row r="898" spans="1:10" x14ac:dyDescent="0.3">
      <c r="A898" s="26" t="s">
        <v>828</v>
      </c>
      <c r="B898" s="8" t="s">
        <v>1087</v>
      </c>
      <c r="C898" s="25" t="s">
        <v>1223</v>
      </c>
      <c r="D898" s="40">
        <v>20032135</v>
      </c>
      <c r="E898" s="12" t="s">
        <v>1162</v>
      </c>
      <c r="F898" s="12" t="s">
        <v>1154</v>
      </c>
      <c r="G898" s="31">
        <v>6.6989999999999998</v>
      </c>
      <c r="I898" s="2">
        <f>VLOOKUP(C898,[1]Sheet1!$C:$G,5,FALSE)</f>
        <v>6.38</v>
      </c>
      <c r="J898" s="33">
        <f t="shared" si="14"/>
        <v>4.9999999999999996E-2</v>
      </c>
    </row>
    <row r="899" spans="1:10" x14ac:dyDescent="0.3">
      <c r="A899" s="26" t="s">
        <v>828</v>
      </c>
      <c r="B899" s="8" t="s">
        <v>2328</v>
      </c>
      <c r="C899" s="8" t="s">
        <v>2276</v>
      </c>
      <c r="D899" s="40">
        <v>20032426</v>
      </c>
      <c r="E899" s="9" t="s">
        <v>2320</v>
      </c>
      <c r="F899" s="9" t="s">
        <v>1125</v>
      </c>
      <c r="G899" s="31">
        <v>15.393294000000001</v>
      </c>
      <c r="J899" s="33"/>
    </row>
    <row r="900" spans="1:10" x14ac:dyDescent="0.3">
      <c r="A900" s="26" t="s">
        <v>828</v>
      </c>
      <c r="B900" s="8" t="s">
        <v>2328</v>
      </c>
      <c r="C900" s="8" t="s">
        <v>2277</v>
      </c>
      <c r="D900" s="40">
        <v>20033646</v>
      </c>
      <c r="E900" s="9" t="s">
        <v>2321</v>
      </c>
      <c r="F900" s="9" t="s">
        <v>1125</v>
      </c>
      <c r="G900" s="31">
        <v>17.463014100000002</v>
      </c>
      <c r="J900" s="33"/>
    </row>
    <row r="901" spans="1:10" x14ac:dyDescent="0.3">
      <c r="A901" s="26" t="s">
        <v>828</v>
      </c>
      <c r="B901" s="8" t="s">
        <v>2328</v>
      </c>
      <c r="C901" s="8" t="s">
        <v>2278</v>
      </c>
      <c r="D901" s="40">
        <v>20035388</v>
      </c>
      <c r="E901" s="9" t="s">
        <v>2322</v>
      </c>
      <c r="F901" s="9" t="s">
        <v>1125</v>
      </c>
      <c r="G901" s="31">
        <v>97.783308000000005</v>
      </c>
      <c r="J901" s="33"/>
    </row>
    <row r="902" spans="1:10" x14ac:dyDescent="0.3">
      <c r="A902" s="26" t="s">
        <v>828</v>
      </c>
      <c r="B902" s="8" t="s">
        <v>2328</v>
      </c>
      <c r="C902" s="8" t="s">
        <v>2279</v>
      </c>
      <c r="D902" s="40">
        <v>20037830</v>
      </c>
      <c r="E902" s="9" t="s">
        <v>2323</v>
      </c>
      <c r="F902" s="9" t="s">
        <v>1125</v>
      </c>
      <c r="G902" s="31">
        <v>97.707537900000005</v>
      </c>
      <c r="J902" s="33"/>
    </row>
    <row r="903" spans="1:10" x14ac:dyDescent="0.3">
      <c r="A903" s="26" t="s">
        <v>828</v>
      </c>
      <c r="B903" s="8" t="s">
        <v>1087</v>
      </c>
      <c r="C903" s="25" t="s">
        <v>1224</v>
      </c>
      <c r="D903" s="40">
        <v>20045862</v>
      </c>
      <c r="E903" s="12" t="s">
        <v>1157</v>
      </c>
      <c r="F903" s="12" t="s">
        <v>1154</v>
      </c>
      <c r="G903" s="31">
        <v>30.040500000000002</v>
      </c>
      <c r="I903" s="2">
        <f>VLOOKUP(C903,[1]Sheet1!$C:$G,5,FALSE)</f>
        <v>28.61</v>
      </c>
      <c r="J903" s="33">
        <f t="shared" si="14"/>
        <v>5.0000000000000072E-2</v>
      </c>
    </row>
    <row r="904" spans="1:10" x14ac:dyDescent="0.3">
      <c r="A904" s="26" t="s">
        <v>828</v>
      </c>
      <c r="B904" s="8" t="s">
        <v>1087</v>
      </c>
      <c r="C904" s="25" t="s">
        <v>1225</v>
      </c>
      <c r="D904" s="40">
        <v>20071576</v>
      </c>
      <c r="E904" s="9" t="s">
        <v>1226</v>
      </c>
      <c r="F904" s="9" t="s">
        <v>1097</v>
      </c>
      <c r="G904" s="31">
        <v>41.380499999999998</v>
      </c>
      <c r="I904" s="2">
        <f>VLOOKUP(C904,[1]Sheet1!$C:$G,5,FALSE)</f>
        <v>39.409999999999997</v>
      </c>
      <c r="J904" s="33">
        <f t="shared" si="14"/>
        <v>5.0000000000000037E-2</v>
      </c>
    </row>
    <row r="905" spans="1:10" x14ac:dyDescent="0.3">
      <c r="A905" s="26" t="s">
        <v>828</v>
      </c>
      <c r="B905" s="8" t="s">
        <v>1087</v>
      </c>
      <c r="C905" s="25" t="s">
        <v>1227</v>
      </c>
      <c r="D905" s="40">
        <v>20071577</v>
      </c>
      <c r="E905" s="9" t="s">
        <v>1228</v>
      </c>
      <c r="F905" s="9" t="s">
        <v>1097</v>
      </c>
      <c r="G905" s="31">
        <v>169.29149999999998</v>
      </c>
      <c r="I905" s="2">
        <f>VLOOKUP(C905,[1]Sheet1!$C:$G,5,FALSE)</f>
        <v>161.22999999999999</v>
      </c>
      <c r="J905" s="33">
        <f t="shared" si="14"/>
        <v>4.9999999999999975E-2</v>
      </c>
    </row>
    <row r="906" spans="1:10" x14ac:dyDescent="0.3">
      <c r="A906" s="26" t="s">
        <v>828</v>
      </c>
      <c r="B906" s="8" t="s">
        <v>1087</v>
      </c>
      <c r="C906" s="25" t="s">
        <v>1229</v>
      </c>
      <c r="D906" s="40">
        <v>20081251</v>
      </c>
      <c r="E906" s="9" t="s">
        <v>1149</v>
      </c>
      <c r="F906" s="9" t="s">
        <v>1099</v>
      </c>
      <c r="G906" s="31">
        <v>29.526000000000003</v>
      </c>
      <c r="I906" s="2">
        <f>VLOOKUP(C906,[1]Sheet1!$C:$G,5,FALSE)</f>
        <v>28.12</v>
      </c>
      <c r="J906" s="33">
        <f t="shared" si="14"/>
        <v>5.0000000000000079E-2</v>
      </c>
    </row>
    <row r="907" spans="1:10" x14ac:dyDescent="0.3">
      <c r="A907" s="26" t="s">
        <v>828</v>
      </c>
      <c r="B907" s="8" t="s">
        <v>1087</v>
      </c>
      <c r="C907" s="25" t="s">
        <v>1230</v>
      </c>
      <c r="D907" s="40">
        <v>20087025</v>
      </c>
      <c r="E907" s="9" t="s">
        <v>1195</v>
      </c>
      <c r="F907" s="9" t="s">
        <v>1088</v>
      </c>
      <c r="G907" s="31">
        <v>23.52</v>
      </c>
      <c r="I907" s="2">
        <f>VLOOKUP(C907,[1]Sheet1!$C:$G,5,FALSE)</f>
        <v>22.4</v>
      </c>
      <c r="J907" s="33">
        <f t="shared" si="14"/>
        <v>5.0000000000000044E-2</v>
      </c>
    </row>
    <row r="908" spans="1:10" x14ac:dyDescent="0.3">
      <c r="A908" s="26" t="s">
        <v>828</v>
      </c>
      <c r="B908" s="8" t="s">
        <v>2328</v>
      </c>
      <c r="C908" s="8" t="s">
        <v>2280</v>
      </c>
      <c r="D908" s="40">
        <v>20087027</v>
      </c>
      <c r="E908" s="9" t="s">
        <v>2324</v>
      </c>
      <c r="F908" s="9" t="s">
        <v>1125</v>
      </c>
      <c r="G908" s="31">
        <v>11.6247285</v>
      </c>
      <c r="J908" s="33"/>
    </row>
    <row r="909" spans="1:10" x14ac:dyDescent="0.3">
      <c r="A909" s="26" t="s">
        <v>828</v>
      </c>
      <c r="B909" s="8" t="s">
        <v>1087</v>
      </c>
      <c r="C909" s="25" t="s">
        <v>1231</v>
      </c>
      <c r="D909" s="40">
        <v>20087035</v>
      </c>
      <c r="E909" s="9" t="s">
        <v>1100</v>
      </c>
      <c r="F909" s="9" t="s">
        <v>1099</v>
      </c>
      <c r="G909" s="31">
        <v>26.5</v>
      </c>
      <c r="I909" s="2">
        <f>VLOOKUP(C909,[1]Sheet1!$C:$G,5,FALSE)</f>
        <v>19.38</v>
      </c>
      <c r="J909" s="33">
        <f t="shared" si="14"/>
        <v>0.367389060887513</v>
      </c>
    </row>
    <row r="910" spans="1:10" x14ac:dyDescent="0.3">
      <c r="A910" s="26" t="s">
        <v>828</v>
      </c>
      <c r="B910" s="8" t="s">
        <v>1087</v>
      </c>
      <c r="C910" s="25" t="s">
        <v>1232</v>
      </c>
      <c r="D910" s="40">
        <v>20094349</v>
      </c>
      <c r="E910" s="12" t="s">
        <v>1163</v>
      </c>
      <c r="F910" s="12" t="s">
        <v>1154</v>
      </c>
      <c r="G910" s="31">
        <v>37.128</v>
      </c>
      <c r="I910" s="2">
        <f>VLOOKUP(C910,[1]Sheet1!$C:$G,5,FALSE)</f>
        <v>35.36</v>
      </c>
      <c r="J910" s="33">
        <f t="shared" si="14"/>
        <v>5.0000000000000017E-2</v>
      </c>
    </row>
    <row r="911" spans="1:10" x14ac:dyDescent="0.3">
      <c r="A911" s="26" t="s">
        <v>828</v>
      </c>
      <c r="B911" s="8" t="s">
        <v>1087</v>
      </c>
      <c r="C911" s="25" t="s">
        <v>1233</v>
      </c>
      <c r="D911" s="40">
        <v>20094351</v>
      </c>
      <c r="E911" s="12" t="s">
        <v>1164</v>
      </c>
      <c r="F911" s="12" t="s">
        <v>1154</v>
      </c>
      <c r="G911" s="31">
        <v>12.925500000000001</v>
      </c>
      <c r="I911" s="2">
        <f>VLOOKUP(C911,[1]Sheet1!$C:$G,5,FALSE)</f>
        <v>12.31</v>
      </c>
      <c r="J911" s="33">
        <f t="shared" si="14"/>
        <v>5.0000000000000065E-2</v>
      </c>
    </row>
    <row r="912" spans="1:10" x14ac:dyDescent="0.3">
      <c r="A912" s="26" t="s">
        <v>828</v>
      </c>
      <c r="B912" s="8" t="s">
        <v>1087</v>
      </c>
      <c r="C912" s="25" t="s">
        <v>1234</v>
      </c>
      <c r="D912" s="40">
        <v>20094352</v>
      </c>
      <c r="E912" s="12" t="s">
        <v>2207</v>
      </c>
      <c r="F912" s="12" t="s">
        <v>1154</v>
      </c>
      <c r="G912" s="31">
        <v>30.219000000000001</v>
      </c>
      <c r="I912" s="2">
        <f>VLOOKUP(C912,[1]Sheet1!$C:$G,5,FALSE)</f>
        <v>28.78</v>
      </c>
      <c r="J912" s="33">
        <f t="shared" si="14"/>
        <v>0.05</v>
      </c>
    </row>
    <row r="913" spans="1:10" x14ac:dyDescent="0.3">
      <c r="A913" s="26" t="s">
        <v>828</v>
      </c>
      <c r="B913" s="8" t="s">
        <v>1087</v>
      </c>
      <c r="C913" s="25" t="s">
        <v>1235</v>
      </c>
      <c r="D913" s="40">
        <v>20095126</v>
      </c>
      <c r="E913" s="12" t="s">
        <v>1161</v>
      </c>
      <c r="F913" s="12" t="s">
        <v>1154</v>
      </c>
      <c r="G913" s="31">
        <v>255.15</v>
      </c>
      <c r="I913" s="2">
        <f>VLOOKUP(C913,[1]Sheet1!$C:$G,5,FALSE)</f>
        <v>243</v>
      </c>
      <c r="J913" s="33">
        <f t="shared" si="14"/>
        <v>5.0000000000000024E-2</v>
      </c>
    </row>
    <row r="914" spans="1:10" x14ac:dyDescent="0.3">
      <c r="A914" s="26" t="s">
        <v>828</v>
      </c>
      <c r="B914" s="8" t="s">
        <v>1087</v>
      </c>
      <c r="C914" s="25" t="s">
        <v>1236</v>
      </c>
      <c r="D914" s="40">
        <v>20105111</v>
      </c>
      <c r="E914" s="12" t="s">
        <v>1237</v>
      </c>
      <c r="F914" s="12" t="s">
        <v>1154</v>
      </c>
      <c r="G914" s="31">
        <v>18.396000000000001</v>
      </c>
      <c r="I914" s="2">
        <f>VLOOKUP(C914,[1]Sheet1!$C:$G,5,FALSE)</f>
        <v>17.52</v>
      </c>
      <c r="J914" s="33">
        <f t="shared" si="14"/>
        <v>5.0000000000000072E-2</v>
      </c>
    </row>
    <row r="915" spans="1:10" x14ac:dyDescent="0.3">
      <c r="A915" s="26" t="s">
        <v>828</v>
      </c>
      <c r="B915" s="8" t="s">
        <v>1087</v>
      </c>
      <c r="C915" s="25" t="s">
        <v>1238</v>
      </c>
      <c r="D915" s="40">
        <v>20117411</v>
      </c>
      <c r="E915" s="12" t="s">
        <v>1037</v>
      </c>
      <c r="F915" s="12" t="s">
        <v>2205</v>
      </c>
      <c r="G915" s="31">
        <v>26.669999999999998</v>
      </c>
      <c r="I915" s="2">
        <f>VLOOKUP(C915,[1]Sheet1!$C:$G,5,FALSE)</f>
        <v>25.4</v>
      </c>
      <c r="J915" s="33">
        <f t="shared" si="14"/>
        <v>4.9999999999999989E-2</v>
      </c>
    </row>
    <row r="916" spans="1:10" x14ac:dyDescent="0.3">
      <c r="A916" s="26" t="s">
        <v>828</v>
      </c>
      <c r="B916" s="8" t="s">
        <v>1087</v>
      </c>
      <c r="C916" s="25" t="s">
        <v>1239</v>
      </c>
      <c r="D916" s="40">
        <v>20117417</v>
      </c>
      <c r="E916" s="12" t="s">
        <v>1155</v>
      </c>
      <c r="F916" s="12" t="s">
        <v>1154</v>
      </c>
      <c r="G916" s="31">
        <v>45.464999999999996</v>
      </c>
      <c r="I916" s="2">
        <f>VLOOKUP(C916,[1]Sheet1!$C:$G,5,FALSE)</f>
        <v>43.3</v>
      </c>
      <c r="J916" s="33">
        <f t="shared" si="14"/>
        <v>4.9999999999999982E-2</v>
      </c>
    </row>
    <row r="917" spans="1:10" x14ac:dyDescent="0.3">
      <c r="A917" s="26" t="s">
        <v>828</v>
      </c>
      <c r="B917" s="8" t="s">
        <v>1087</v>
      </c>
      <c r="C917" s="25" t="s">
        <v>1240</v>
      </c>
      <c r="D917" s="40">
        <v>20117432</v>
      </c>
      <c r="E917" s="12" t="s">
        <v>2214</v>
      </c>
      <c r="F917" s="12" t="s">
        <v>1154</v>
      </c>
      <c r="G917" s="31">
        <v>44.110500000000002</v>
      </c>
      <c r="I917" s="2">
        <f>VLOOKUP(C917,[1]Sheet1!$C:$G,5,FALSE)</f>
        <v>42.01</v>
      </c>
      <c r="J917" s="33">
        <f t="shared" si="14"/>
        <v>5.0000000000000093E-2</v>
      </c>
    </row>
    <row r="918" spans="1:10" x14ac:dyDescent="0.3">
      <c r="A918" s="26" t="s">
        <v>828</v>
      </c>
      <c r="B918" s="8" t="s">
        <v>1087</v>
      </c>
      <c r="C918" s="25" t="s">
        <v>1241</v>
      </c>
      <c r="D918" s="40">
        <v>20117435</v>
      </c>
      <c r="E918" s="12" t="s">
        <v>1921</v>
      </c>
      <c r="F918" s="12" t="s">
        <v>1154</v>
      </c>
      <c r="G918" s="31">
        <v>309.40350000000001</v>
      </c>
      <c r="I918" s="2">
        <f>VLOOKUP(C918,[1]Sheet1!$C:$G,5,FALSE)</f>
        <v>294.67</v>
      </c>
      <c r="J918" s="33">
        <f t="shared" si="14"/>
        <v>4.9999999999999968E-2</v>
      </c>
    </row>
    <row r="919" spans="1:10" x14ac:dyDescent="0.3">
      <c r="A919" s="26" t="s">
        <v>828</v>
      </c>
      <c r="B919" s="8" t="s">
        <v>1087</v>
      </c>
      <c r="C919" s="25" t="s">
        <v>1244</v>
      </c>
      <c r="D919" s="40">
        <v>20117437</v>
      </c>
      <c r="E919" s="12" t="s">
        <v>1922</v>
      </c>
      <c r="F919" s="12" t="s">
        <v>1154</v>
      </c>
      <c r="G919" s="31">
        <v>336.22050000000002</v>
      </c>
      <c r="I919" s="2">
        <f>VLOOKUP(C919,[1]Sheet1!$C:$G,5,FALSE)</f>
        <v>320.20999999999998</v>
      </c>
      <c r="J919" s="33">
        <f t="shared" si="14"/>
        <v>5.0000000000000114E-2</v>
      </c>
    </row>
    <row r="920" spans="1:10" x14ac:dyDescent="0.3">
      <c r="A920" s="26" t="s">
        <v>828</v>
      </c>
      <c r="B920" s="8" t="s">
        <v>1087</v>
      </c>
      <c r="C920" s="25" t="s">
        <v>1245</v>
      </c>
      <c r="D920" s="40">
        <v>20117455</v>
      </c>
      <c r="E920" s="12" t="s">
        <v>1156</v>
      </c>
      <c r="F920" s="12" t="s">
        <v>1154</v>
      </c>
      <c r="G920" s="31">
        <v>107.66700000000002</v>
      </c>
      <c r="I920" s="2">
        <f>VLOOKUP(C920,[1]Sheet1!$C:$G,5,FALSE)</f>
        <v>102.54</v>
      </c>
      <c r="J920" s="33">
        <f t="shared" si="14"/>
        <v>5.0000000000000093E-2</v>
      </c>
    </row>
    <row r="921" spans="1:10" x14ac:dyDescent="0.3">
      <c r="A921" s="26" t="s">
        <v>828</v>
      </c>
      <c r="B921" s="8" t="s">
        <v>1087</v>
      </c>
      <c r="C921" s="25" t="s">
        <v>1246</v>
      </c>
      <c r="D921" s="40">
        <v>20117459</v>
      </c>
      <c r="E921" s="12" t="s">
        <v>1158</v>
      </c>
      <c r="F921" s="12" t="s">
        <v>1154</v>
      </c>
      <c r="G921" s="31">
        <v>44.110500000000002</v>
      </c>
      <c r="I921" s="2">
        <f>VLOOKUP(C921,[1]Sheet1!$C:$G,5,FALSE)</f>
        <v>42.01</v>
      </c>
      <c r="J921" s="33">
        <f t="shared" si="14"/>
        <v>5.0000000000000093E-2</v>
      </c>
    </row>
    <row r="922" spans="1:10" x14ac:dyDescent="0.3">
      <c r="A922" s="26" t="s">
        <v>828</v>
      </c>
      <c r="B922" s="8" t="s">
        <v>1087</v>
      </c>
      <c r="C922" s="25" t="s">
        <v>1247</v>
      </c>
      <c r="D922" s="40">
        <v>20117461</v>
      </c>
      <c r="E922" s="12" t="s">
        <v>1159</v>
      </c>
      <c r="F922" s="12" t="s">
        <v>1154</v>
      </c>
      <c r="G922" s="31">
        <v>52.247999999999998</v>
      </c>
      <c r="I922" s="2">
        <f>VLOOKUP(C922,[1]Sheet1!$C:$G,5,FALSE)</f>
        <v>49.76</v>
      </c>
      <c r="J922" s="33">
        <f t="shared" si="14"/>
        <v>4.9999999999999996E-2</v>
      </c>
    </row>
    <row r="923" spans="1:10" x14ac:dyDescent="0.3">
      <c r="A923" s="26" t="s">
        <v>828</v>
      </c>
      <c r="B923" s="8" t="s">
        <v>1087</v>
      </c>
      <c r="C923" s="25" t="s">
        <v>1248</v>
      </c>
      <c r="D923" s="40">
        <v>20117488</v>
      </c>
      <c r="E923" s="12" t="s">
        <v>1039</v>
      </c>
      <c r="F923" s="12" t="s">
        <v>1154</v>
      </c>
      <c r="G923" s="31">
        <v>23.981999999999999</v>
      </c>
      <c r="I923" s="2">
        <f>VLOOKUP(C923,[1]Sheet1!$C:$G,5,FALSE)</f>
        <v>22.84</v>
      </c>
      <c r="J923" s="33">
        <f t="shared" si="14"/>
        <v>4.9999999999999975E-2</v>
      </c>
    </row>
    <row r="924" spans="1:10" x14ac:dyDescent="0.3">
      <c r="A924" s="26" t="s">
        <v>828</v>
      </c>
      <c r="B924" s="8" t="s">
        <v>1087</v>
      </c>
      <c r="C924" s="25" t="s">
        <v>1249</v>
      </c>
      <c r="D924" s="40">
        <v>20117497</v>
      </c>
      <c r="E924" s="12" t="s">
        <v>1167</v>
      </c>
      <c r="F924" s="12" t="s">
        <v>1154</v>
      </c>
      <c r="G924" s="31">
        <v>49.959000000000003</v>
      </c>
      <c r="I924" s="2">
        <f>VLOOKUP(C924,[1]Sheet1!$C:$G,5,FALSE)</f>
        <v>47.58</v>
      </c>
      <c r="J924" s="33">
        <f t="shared" si="14"/>
        <v>5.0000000000000107E-2</v>
      </c>
    </row>
    <row r="925" spans="1:10" x14ac:dyDescent="0.3">
      <c r="A925" s="26" t="s">
        <v>828</v>
      </c>
      <c r="B925" s="8" t="s">
        <v>1087</v>
      </c>
      <c r="C925" s="25" t="s">
        <v>1250</v>
      </c>
      <c r="D925" s="40">
        <v>20117504</v>
      </c>
      <c r="E925" s="12" t="s">
        <v>1170</v>
      </c>
      <c r="F925" s="12" t="s">
        <v>1154</v>
      </c>
      <c r="G925" s="31">
        <v>22.732499999999998</v>
      </c>
      <c r="I925" s="2">
        <f>VLOOKUP(C925,[1]Sheet1!$C:$G,5,FALSE)</f>
        <v>21.65</v>
      </c>
      <c r="J925" s="33">
        <f t="shared" si="14"/>
        <v>4.9999999999999982E-2</v>
      </c>
    </row>
    <row r="926" spans="1:10" x14ac:dyDescent="0.3">
      <c r="A926" s="26" t="s">
        <v>828</v>
      </c>
      <c r="B926" s="8" t="s">
        <v>1087</v>
      </c>
      <c r="C926" s="25" t="s">
        <v>1251</v>
      </c>
      <c r="D926" s="40">
        <v>20117506</v>
      </c>
      <c r="E926" s="12" t="s">
        <v>1171</v>
      </c>
      <c r="F926" s="12" t="s">
        <v>1154</v>
      </c>
      <c r="G926" s="31">
        <v>26.596499999999999</v>
      </c>
      <c r="I926" s="2">
        <f>VLOOKUP(C926,[1]Sheet1!$C:$G,5,FALSE)</f>
        <v>25.33</v>
      </c>
      <c r="J926" s="33">
        <f t="shared" si="14"/>
        <v>5.0000000000000031E-2</v>
      </c>
    </row>
    <row r="927" spans="1:10" x14ac:dyDescent="0.3">
      <c r="A927" s="26" t="s">
        <v>828</v>
      </c>
      <c r="B927" s="8" t="s">
        <v>1087</v>
      </c>
      <c r="C927" s="25" t="s">
        <v>1252</v>
      </c>
      <c r="D927" s="40">
        <v>20117694</v>
      </c>
      <c r="E927" s="12" t="s">
        <v>1165</v>
      </c>
      <c r="F927" s="12" t="s">
        <v>1154</v>
      </c>
      <c r="G927" s="31">
        <v>236.9325</v>
      </c>
      <c r="I927" s="2">
        <f>VLOOKUP(C927,[1]Sheet1!$C:$G,5,FALSE)</f>
        <v>225.65</v>
      </c>
      <c r="J927" s="33">
        <f t="shared" si="14"/>
        <v>4.9999999999999996E-2</v>
      </c>
    </row>
    <row r="928" spans="1:10" x14ac:dyDescent="0.3">
      <c r="A928" s="26" t="s">
        <v>828</v>
      </c>
      <c r="B928" s="8" t="s">
        <v>1087</v>
      </c>
      <c r="C928" s="25" t="s">
        <v>1354</v>
      </c>
      <c r="D928" s="40">
        <v>20119098</v>
      </c>
      <c r="E928" s="9" t="s">
        <v>1355</v>
      </c>
      <c r="F928" s="9" t="s">
        <v>1934</v>
      </c>
      <c r="G928" s="31">
        <v>11.57</v>
      </c>
      <c r="I928" s="2">
        <f>VLOOKUP(C928,[1]Sheet1!$C:$G,5,FALSE)</f>
        <v>10.85</v>
      </c>
      <c r="J928" s="33">
        <f t="shared" si="14"/>
        <v>6.6359447004608357E-2</v>
      </c>
    </row>
    <row r="929" spans="1:10" x14ac:dyDescent="0.3">
      <c r="A929" s="26" t="s">
        <v>828</v>
      </c>
      <c r="B929" s="8" t="s">
        <v>1087</v>
      </c>
      <c r="C929" s="25" t="s">
        <v>1242</v>
      </c>
      <c r="D929" s="40">
        <v>20120985</v>
      </c>
      <c r="E929" s="12" t="s">
        <v>1243</v>
      </c>
      <c r="F929" s="12" t="s">
        <v>1154</v>
      </c>
      <c r="G929" s="31">
        <v>421.80600000000004</v>
      </c>
      <c r="I929" s="2">
        <f>VLOOKUP(C929,[1]Sheet1!$C:$G,5,FALSE)</f>
        <v>401.72</v>
      </c>
      <c r="J929" s="33">
        <f t="shared" si="14"/>
        <v>5.0000000000000031E-2</v>
      </c>
    </row>
    <row r="930" spans="1:10" x14ac:dyDescent="0.3">
      <c r="A930" s="26" t="s">
        <v>828</v>
      </c>
      <c r="B930" s="8" t="s">
        <v>1087</v>
      </c>
      <c r="C930" s="25" t="s">
        <v>1924</v>
      </c>
      <c r="D930" s="40">
        <v>20125427</v>
      </c>
      <c r="E930" s="12" t="s">
        <v>1925</v>
      </c>
      <c r="F930" s="12" t="s">
        <v>1154</v>
      </c>
      <c r="G930" s="31">
        <v>52.888500000000001</v>
      </c>
      <c r="I930" s="2">
        <f>VLOOKUP(C930,[1]Sheet1!$C:$G,5,FALSE)</f>
        <v>50.37</v>
      </c>
      <c r="J930" s="33">
        <f t="shared" si="14"/>
        <v>5.0000000000000065E-2</v>
      </c>
    </row>
    <row r="931" spans="1:10" x14ac:dyDescent="0.3">
      <c r="A931" s="26" t="s">
        <v>828</v>
      </c>
      <c r="B931" s="8" t="s">
        <v>1087</v>
      </c>
      <c r="C931" s="25" t="s">
        <v>1916</v>
      </c>
      <c r="D931" s="40">
        <v>20125428</v>
      </c>
      <c r="E931" s="12" t="s">
        <v>1923</v>
      </c>
      <c r="F931" s="12" t="s">
        <v>1154</v>
      </c>
      <c r="G931" s="31">
        <v>58.233000000000004</v>
      </c>
      <c r="I931" s="2">
        <f>VLOOKUP(C931,[1]Sheet1!$C:$G,5,FALSE)</f>
        <v>55.46</v>
      </c>
      <c r="J931" s="33">
        <f t="shared" ref="J931:J994" si="15">(G931-I931)/I931</f>
        <v>5.0000000000000058E-2</v>
      </c>
    </row>
    <row r="932" spans="1:10" x14ac:dyDescent="0.3">
      <c r="A932" s="26" t="s">
        <v>828</v>
      </c>
      <c r="B932" s="8" t="s">
        <v>1087</v>
      </c>
      <c r="C932" s="25" t="s">
        <v>1107</v>
      </c>
      <c r="D932" s="40">
        <v>3008647</v>
      </c>
      <c r="E932" s="9" t="s">
        <v>1253</v>
      </c>
      <c r="F932" s="9" t="s">
        <v>1099</v>
      </c>
      <c r="G932" s="31">
        <v>49.780499999999996</v>
      </c>
      <c r="I932" s="2">
        <f>VLOOKUP(C932,[1]Sheet1!$C:$G,5,FALSE)</f>
        <v>47.41</v>
      </c>
      <c r="J932" s="33">
        <f t="shared" si="15"/>
        <v>0.05</v>
      </c>
    </row>
    <row r="933" spans="1:10" x14ac:dyDescent="0.3">
      <c r="A933" s="26" t="s">
        <v>828</v>
      </c>
      <c r="B933" s="8" t="s">
        <v>1087</v>
      </c>
      <c r="C933" s="25" t="s">
        <v>1254</v>
      </c>
      <c r="D933" s="40">
        <v>3008646</v>
      </c>
      <c r="E933" s="9" t="s">
        <v>1255</v>
      </c>
      <c r="F933" s="9" t="s">
        <v>1099</v>
      </c>
      <c r="G933" s="31">
        <v>49.423500000000004</v>
      </c>
      <c r="I933" s="2">
        <f>VLOOKUP(C933,[1]Sheet1!$C:$G,5,FALSE)</f>
        <v>47.07</v>
      </c>
      <c r="J933" s="33">
        <f t="shared" si="15"/>
        <v>5.0000000000000086E-2</v>
      </c>
    </row>
    <row r="934" spans="1:10" x14ac:dyDescent="0.3">
      <c r="A934" s="26" t="s">
        <v>828</v>
      </c>
      <c r="B934" s="8" t="s">
        <v>2328</v>
      </c>
      <c r="C934" s="8" t="s">
        <v>2281</v>
      </c>
      <c r="D934" s="40">
        <v>20132553</v>
      </c>
      <c r="E934" s="9" t="s">
        <v>2325</v>
      </c>
      <c r="F934" s="9" t="s">
        <v>1125</v>
      </c>
      <c r="G934" s="31">
        <v>18.906633899999999</v>
      </c>
      <c r="J934" s="33"/>
    </row>
    <row r="935" spans="1:10" x14ac:dyDescent="0.3">
      <c r="A935" s="26" t="s">
        <v>828</v>
      </c>
      <c r="B935" s="8" t="s">
        <v>2328</v>
      </c>
      <c r="C935" s="8" t="s">
        <v>2282</v>
      </c>
      <c r="D935" s="40">
        <v>20132566</v>
      </c>
      <c r="E935" s="9" t="s">
        <v>2326</v>
      </c>
      <c r="F935" s="9" t="s">
        <v>1125</v>
      </c>
      <c r="G935" s="31">
        <v>18.906633899999999</v>
      </c>
      <c r="J935" s="33"/>
    </row>
    <row r="936" spans="1:10" x14ac:dyDescent="0.3">
      <c r="A936" s="26" t="s">
        <v>828</v>
      </c>
      <c r="B936" s="8" t="s">
        <v>1087</v>
      </c>
      <c r="C936" s="25" t="s">
        <v>1160</v>
      </c>
      <c r="D936" s="40">
        <v>3002280</v>
      </c>
      <c r="E936" s="9" t="s">
        <v>430</v>
      </c>
      <c r="F936" s="9" t="s">
        <v>1088</v>
      </c>
      <c r="G936" s="31">
        <v>38.933999999999997</v>
      </c>
      <c r="I936" s="2">
        <f>VLOOKUP(C936,[1]Sheet1!$C:$G,5,FALSE)</f>
        <v>37.08</v>
      </c>
      <c r="J936" s="33">
        <f t="shared" si="15"/>
        <v>4.9999999999999982E-2</v>
      </c>
    </row>
    <row r="937" spans="1:10" x14ac:dyDescent="0.3">
      <c r="A937" s="26" t="s">
        <v>828</v>
      </c>
      <c r="B937" s="8" t="s">
        <v>1087</v>
      </c>
      <c r="C937" s="25" t="s">
        <v>1256</v>
      </c>
      <c r="D937" s="40">
        <v>20133586</v>
      </c>
      <c r="E937" s="9" t="s">
        <v>1257</v>
      </c>
      <c r="F937" s="9" t="s">
        <v>1214</v>
      </c>
      <c r="G937" s="31">
        <v>64.669499999999999</v>
      </c>
      <c r="I937" s="2">
        <f>VLOOKUP(C937,[1]Sheet1!$C:$G,5,FALSE)</f>
        <v>61.59</v>
      </c>
      <c r="J937" s="33">
        <f t="shared" si="15"/>
        <v>4.9999999999999933E-2</v>
      </c>
    </row>
    <row r="938" spans="1:10" x14ac:dyDescent="0.3">
      <c r="A938" s="26" t="s">
        <v>828</v>
      </c>
      <c r="B938" s="8" t="s">
        <v>1087</v>
      </c>
      <c r="C938" s="25" t="s">
        <v>1258</v>
      </c>
      <c r="D938" s="40">
        <v>20133588</v>
      </c>
      <c r="E938" s="9" t="s">
        <v>1259</v>
      </c>
      <c r="F938" s="9" t="s">
        <v>1214</v>
      </c>
      <c r="G938" s="31">
        <v>93.124499999999998</v>
      </c>
      <c r="I938" s="2">
        <f>VLOOKUP(C938,[1]Sheet1!$C:$G,5,FALSE)</f>
        <v>88.69</v>
      </c>
      <c r="J938" s="33">
        <f t="shared" si="15"/>
        <v>0.05</v>
      </c>
    </row>
    <row r="939" spans="1:10" x14ac:dyDescent="0.3">
      <c r="A939" s="26" t="s">
        <v>828</v>
      </c>
      <c r="B939" s="8" t="s">
        <v>1087</v>
      </c>
      <c r="C939" s="25" t="s">
        <v>1260</v>
      </c>
      <c r="D939" s="40">
        <v>20134372</v>
      </c>
      <c r="E939" s="9" t="s">
        <v>1261</v>
      </c>
      <c r="F939" s="9" t="s">
        <v>1214</v>
      </c>
      <c r="G939" s="31">
        <v>19.277999999999999</v>
      </c>
      <c r="I939" s="2">
        <f>VLOOKUP(C939,[1]Sheet1!$C:$G,5,FALSE)</f>
        <v>18.36</v>
      </c>
      <c r="J939" s="33">
        <f t="shared" si="15"/>
        <v>4.9999999999999961E-2</v>
      </c>
    </row>
    <row r="940" spans="1:10" x14ac:dyDescent="0.3">
      <c r="A940" s="26" t="s">
        <v>828</v>
      </c>
      <c r="B940" s="8" t="s">
        <v>1087</v>
      </c>
      <c r="C940" s="25" t="s">
        <v>1262</v>
      </c>
      <c r="D940" s="40">
        <v>20139837</v>
      </c>
      <c r="E940" s="9" t="s">
        <v>1263</v>
      </c>
      <c r="F940" s="9" t="s">
        <v>1214</v>
      </c>
      <c r="G940" s="31">
        <v>58.884</v>
      </c>
      <c r="I940" s="2">
        <f>VLOOKUP(C940,[1]Sheet1!$C:$G,5,FALSE)</f>
        <v>56.08</v>
      </c>
      <c r="J940" s="33">
        <f t="shared" si="15"/>
        <v>5.0000000000000037E-2</v>
      </c>
    </row>
    <row r="941" spans="1:10" x14ac:dyDescent="0.3">
      <c r="A941" s="26" t="s">
        <v>828</v>
      </c>
      <c r="B941" s="8" t="s">
        <v>1087</v>
      </c>
      <c r="C941" s="25" t="s">
        <v>1264</v>
      </c>
      <c r="D941" s="40">
        <v>20147320</v>
      </c>
      <c r="E941" s="9" t="s">
        <v>1265</v>
      </c>
      <c r="F941" s="9" t="s">
        <v>1214</v>
      </c>
      <c r="G941" s="31">
        <v>145.23599999999999</v>
      </c>
      <c r="I941" s="2">
        <f>VLOOKUP(C941,[1]Sheet1!$C:$G,5,FALSE)</f>
        <v>138.32</v>
      </c>
      <c r="J941" s="33">
        <f t="shared" si="15"/>
        <v>4.9999999999999982E-2</v>
      </c>
    </row>
    <row r="942" spans="1:10" x14ac:dyDescent="0.3">
      <c r="A942" s="26" t="s">
        <v>828</v>
      </c>
      <c r="B942" s="8" t="s">
        <v>1087</v>
      </c>
      <c r="C942" s="25" t="s">
        <v>2177</v>
      </c>
      <c r="D942" s="40">
        <v>20165494</v>
      </c>
      <c r="E942" s="9" t="s">
        <v>2221</v>
      </c>
      <c r="F942" s="9" t="s">
        <v>2179</v>
      </c>
      <c r="G942" s="31">
        <v>280.00350000000003</v>
      </c>
      <c r="I942" s="2">
        <f>VLOOKUP(C942,[1]Sheet1!$C:$G,5,FALSE)</f>
        <v>266.67</v>
      </c>
      <c r="J942" s="33">
        <f t="shared" si="15"/>
        <v>5.0000000000000051E-2</v>
      </c>
    </row>
    <row r="943" spans="1:10" x14ac:dyDescent="0.3">
      <c r="A943" s="26" t="s">
        <v>828</v>
      </c>
      <c r="B943" s="8" t="s">
        <v>1087</v>
      </c>
      <c r="C943" s="25" t="s">
        <v>2178</v>
      </c>
      <c r="D943" s="40">
        <v>20175038</v>
      </c>
      <c r="E943" s="9" t="s">
        <v>2222</v>
      </c>
      <c r="F943" s="9" t="s">
        <v>2179</v>
      </c>
      <c r="G943" s="31">
        <v>43.669500000000006</v>
      </c>
      <c r="I943" s="2">
        <f>VLOOKUP(C943,[1]Sheet1!$C:$G,5,FALSE)</f>
        <v>41.59</v>
      </c>
      <c r="J943" s="33">
        <f t="shared" si="15"/>
        <v>5.0000000000000065E-2</v>
      </c>
    </row>
    <row r="944" spans="1:10" x14ac:dyDescent="0.3">
      <c r="A944" s="26" t="s">
        <v>828</v>
      </c>
      <c r="B944" s="8" t="s">
        <v>1087</v>
      </c>
      <c r="C944" s="25" t="s">
        <v>2173</v>
      </c>
      <c r="D944" s="40">
        <v>20175374</v>
      </c>
      <c r="E944" s="9" t="s">
        <v>2217</v>
      </c>
      <c r="F944" s="9" t="s">
        <v>2179</v>
      </c>
      <c r="G944" s="31">
        <v>326.26650000000001</v>
      </c>
      <c r="I944" s="2">
        <f>VLOOKUP(C944,[1]Sheet1!$C:$G,5,FALSE)</f>
        <v>310.73</v>
      </c>
      <c r="J944" s="33">
        <f t="shared" si="15"/>
        <v>4.9999999999999961E-2</v>
      </c>
    </row>
    <row r="945" spans="1:10" x14ac:dyDescent="0.3">
      <c r="A945" s="26" t="s">
        <v>828</v>
      </c>
      <c r="B945" s="8" t="s">
        <v>1087</v>
      </c>
      <c r="C945" s="25" t="s">
        <v>2174</v>
      </c>
      <c r="D945" s="40">
        <v>20175375</v>
      </c>
      <c r="E945" s="9" t="s">
        <v>2219</v>
      </c>
      <c r="F945" s="9" t="s">
        <v>2179</v>
      </c>
      <c r="G945" s="31">
        <v>340.76700000000005</v>
      </c>
      <c r="I945" s="2">
        <f>VLOOKUP(C945,[1]Sheet1!$C:$G,5,FALSE)</f>
        <v>324.54000000000002</v>
      </c>
      <c r="J945" s="33">
        <f t="shared" si="15"/>
        <v>5.0000000000000093E-2</v>
      </c>
    </row>
    <row r="946" spans="1:10" x14ac:dyDescent="0.3">
      <c r="A946" s="26" t="s">
        <v>828</v>
      </c>
      <c r="B946" s="8" t="s">
        <v>1087</v>
      </c>
      <c r="C946" s="25" t="s">
        <v>2175</v>
      </c>
      <c r="D946" s="40">
        <v>20175376</v>
      </c>
      <c r="E946" s="9" t="s">
        <v>2218</v>
      </c>
      <c r="F946" s="9" t="s">
        <v>2179</v>
      </c>
      <c r="G946" s="31">
        <v>340.76700000000005</v>
      </c>
      <c r="I946" s="2">
        <f>VLOOKUP(C946,[1]Sheet1!$C:$G,5,FALSE)</f>
        <v>324.54000000000002</v>
      </c>
      <c r="J946" s="33">
        <f t="shared" si="15"/>
        <v>5.0000000000000093E-2</v>
      </c>
    </row>
    <row r="947" spans="1:10" x14ac:dyDescent="0.3">
      <c r="A947" s="26" t="s">
        <v>828</v>
      </c>
      <c r="B947" s="8" t="s">
        <v>1087</v>
      </c>
      <c r="C947" s="25" t="s">
        <v>2176</v>
      </c>
      <c r="D947" s="40">
        <v>20177875</v>
      </c>
      <c r="E947" s="9" t="s">
        <v>2220</v>
      </c>
      <c r="F947" s="9" t="s">
        <v>2179</v>
      </c>
      <c r="G947" s="31">
        <v>26.0715</v>
      </c>
      <c r="I947" s="2">
        <f>VLOOKUP(C947,[1]Sheet1!$C:$G,5,FALSE)</f>
        <v>24.83</v>
      </c>
      <c r="J947" s="33">
        <f t="shared" si="15"/>
        <v>5.0000000000000086E-2</v>
      </c>
    </row>
    <row r="948" spans="1:10" x14ac:dyDescent="0.3">
      <c r="A948" s="26" t="s">
        <v>828</v>
      </c>
      <c r="B948" s="8" t="s">
        <v>1087</v>
      </c>
      <c r="C948" s="25" t="s">
        <v>2215</v>
      </c>
      <c r="D948" s="40">
        <v>20180631</v>
      </c>
      <c r="E948" s="9" t="s">
        <v>2223</v>
      </c>
      <c r="F948" s="9" t="s">
        <v>2179</v>
      </c>
      <c r="G948" s="31">
        <v>126.36749999999999</v>
      </c>
      <c r="I948" s="2">
        <f>VLOOKUP(C948,[1]Sheet1!$C:$G,5,FALSE)</f>
        <v>120.35</v>
      </c>
      <c r="J948" s="33">
        <f t="shared" si="15"/>
        <v>4.9999999999999989E-2</v>
      </c>
    </row>
    <row r="949" spans="1:10" x14ac:dyDescent="0.3">
      <c r="A949" s="26" t="s">
        <v>828</v>
      </c>
      <c r="B949" s="8" t="s">
        <v>1087</v>
      </c>
      <c r="C949" s="25" t="s">
        <v>2216</v>
      </c>
      <c r="D949" s="40">
        <v>20180632</v>
      </c>
      <c r="E949" s="9" t="s">
        <v>2224</v>
      </c>
      <c r="F949" s="9" t="s">
        <v>2179</v>
      </c>
      <c r="G949" s="31">
        <v>136.04849999999999</v>
      </c>
      <c r="I949" s="2">
        <f>VLOOKUP(C949,[1]Sheet1!$C:$G,5,FALSE)</f>
        <v>129.57</v>
      </c>
      <c r="J949" s="33">
        <f t="shared" si="15"/>
        <v>4.9999999999999975E-2</v>
      </c>
    </row>
    <row r="950" spans="1:10" x14ac:dyDescent="0.3">
      <c r="A950" s="26" t="s">
        <v>828</v>
      </c>
      <c r="B950" s="8" t="s">
        <v>2328</v>
      </c>
      <c r="C950" s="8" t="s">
        <v>2283</v>
      </c>
      <c r="D950" s="6">
        <v>20181375</v>
      </c>
      <c r="E950" s="9" t="s">
        <v>2327</v>
      </c>
      <c r="F950" s="9" t="s">
        <v>1125</v>
      </c>
      <c r="G950" s="31">
        <v>16.916671800000003</v>
      </c>
      <c r="J950" s="33"/>
    </row>
    <row r="951" spans="1:10" x14ac:dyDescent="0.3">
      <c r="A951" s="26" t="s">
        <v>828</v>
      </c>
      <c r="B951" s="8" t="s">
        <v>1087</v>
      </c>
      <c r="C951" s="25" t="s">
        <v>1266</v>
      </c>
      <c r="D951" s="6">
        <v>2880583</v>
      </c>
      <c r="E951" s="9" t="s">
        <v>2202</v>
      </c>
      <c r="F951" s="9" t="s">
        <v>2204</v>
      </c>
      <c r="G951" s="31" t="s">
        <v>92</v>
      </c>
      <c r="I951" s="2" t="str">
        <f>VLOOKUP(C951,[1]Sheet1!$C:$G,5,FALSE)</f>
        <v>POA</v>
      </c>
      <c r="J951" s="33"/>
    </row>
    <row r="952" spans="1:10" x14ac:dyDescent="0.3">
      <c r="A952" s="26" t="s">
        <v>828</v>
      </c>
      <c r="B952" s="8" t="s">
        <v>1087</v>
      </c>
      <c r="C952" s="25" t="s">
        <v>1267</v>
      </c>
      <c r="D952" s="6">
        <v>2880584</v>
      </c>
      <c r="E952" s="9" t="s">
        <v>2203</v>
      </c>
      <c r="F952" s="9" t="s">
        <v>2204</v>
      </c>
      <c r="G952" s="31">
        <v>13.923</v>
      </c>
      <c r="I952" s="2">
        <f>VLOOKUP(C952,[1]Sheet1!$C:$G,5,FALSE)</f>
        <v>13.26</v>
      </c>
      <c r="J952" s="33">
        <f t="shared" si="15"/>
        <v>5.0000000000000017E-2</v>
      </c>
    </row>
    <row r="953" spans="1:10" x14ac:dyDescent="0.3">
      <c r="A953" s="26" t="s">
        <v>828</v>
      </c>
      <c r="B953" s="8" t="s">
        <v>1087</v>
      </c>
      <c r="C953" s="25" t="s">
        <v>1268</v>
      </c>
      <c r="D953" s="6">
        <v>3000439</v>
      </c>
      <c r="E953" s="9" t="s">
        <v>1124</v>
      </c>
      <c r="F953" s="9" t="s">
        <v>1125</v>
      </c>
      <c r="G953" s="31">
        <v>25.294499999999999</v>
      </c>
      <c r="I953" s="2">
        <f>VLOOKUP(C953,[1]Sheet1!$C:$G,5,FALSE)</f>
        <v>24.09</v>
      </c>
      <c r="J953" s="33">
        <f t="shared" si="15"/>
        <v>4.9999999999999975E-2</v>
      </c>
    </row>
    <row r="954" spans="1:10" x14ac:dyDescent="0.3">
      <c r="A954" s="26" t="s">
        <v>828</v>
      </c>
      <c r="B954" s="8" t="s">
        <v>1087</v>
      </c>
      <c r="C954" s="25" t="s">
        <v>1269</v>
      </c>
      <c r="D954" s="6">
        <v>3000443</v>
      </c>
      <c r="E954" s="9" t="s">
        <v>1270</v>
      </c>
      <c r="F954" s="9" t="s">
        <v>1094</v>
      </c>
      <c r="G954" s="31">
        <v>10.752000000000001</v>
      </c>
      <c r="I954" s="2">
        <f>VLOOKUP(C954,[1]Sheet1!$C:$G,5,FALSE)</f>
        <v>10.24</v>
      </c>
      <c r="J954" s="33">
        <f t="shared" si="15"/>
        <v>5.0000000000000044E-2</v>
      </c>
    </row>
    <row r="955" spans="1:10" x14ac:dyDescent="0.3">
      <c r="A955" s="26" t="s">
        <v>828</v>
      </c>
      <c r="B955" s="8" t="s">
        <v>1087</v>
      </c>
      <c r="C955" s="25" t="s">
        <v>1271</v>
      </c>
      <c r="D955" s="6">
        <v>3000681</v>
      </c>
      <c r="E955" s="9" t="s">
        <v>1185</v>
      </c>
      <c r="F955" s="9" t="s">
        <v>1088</v>
      </c>
      <c r="G955" s="31">
        <v>16.317</v>
      </c>
      <c r="I955" s="2">
        <f>VLOOKUP(C955,[1]Sheet1!$C:$G,5,FALSE)</f>
        <v>15.54</v>
      </c>
      <c r="J955" s="33">
        <f t="shared" si="15"/>
        <v>5.0000000000000065E-2</v>
      </c>
    </row>
    <row r="956" spans="1:10" x14ac:dyDescent="0.3">
      <c r="A956" s="26" t="s">
        <v>828</v>
      </c>
      <c r="B956" s="8" t="s">
        <v>2328</v>
      </c>
      <c r="C956" s="8" t="s">
        <v>2236</v>
      </c>
      <c r="D956" s="6">
        <v>3001138</v>
      </c>
      <c r="E956" s="9" t="s">
        <v>2284</v>
      </c>
      <c r="F956" s="9" t="s">
        <v>1125</v>
      </c>
      <c r="G956" s="31">
        <v>160.86789810000002</v>
      </c>
      <c r="J956" s="33"/>
    </row>
    <row r="957" spans="1:10" x14ac:dyDescent="0.3">
      <c r="A957" s="26" t="s">
        <v>828</v>
      </c>
      <c r="B957" s="8" t="s">
        <v>2328</v>
      </c>
      <c r="C957" s="8" t="s">
        <v>2237</v>
      </c>
      <c r="D957" s="6">
        <v>3001150</v>
      </c>
      <c r="E957" s="9" t="s">
        <v>2285</v>
      </c>
      <c r="F957" s="9" t="s">
        <v>1125</v>
      </c>
      <c r="G957" s="31">
        <v>122.40061470000001</v>
      </c>
      <c r="J957" s="33"/>
    </row>
    <row r="958" spans="1:10" x14ac:dyDescent="0.3">
      <c r="A958" s="26" t="s">
        <v>828</v>
      </c>
      <c r="B958" s="8" t="s">
        <v>1087</v>
      </c>
      <c r="C958" s="25" t="s">
        <v>1272</v>
      </c>
      <c r="D958" s="6">
        <v>3001156</v>
      </c>
      <c r="E958" s="9" t="s">
        <v>1152</v>
      </c>
      <c r="F958" s="9" t="s">
        <v>1088</v>
      </c>
      <c r="G958" s="31">
        <v>147.36750000000001</v>
      </c>
      <c r="I958" s="2">
        <f>VLOOKUP(C958,[1]Sheet1!$C:$G,5,FALSE)</f>
        <v>140.35</v>
      </c>
      <c r="J958" s="33">
        <f t="shared" si="15"/>
        <v>5.0000000000000093E-2</v>
      </c>
    </row>
    <row r="959" spans="1:10" x14ac:dyDescent="0.3">
      <c r="A959" s="26" t="s">
        <v>828</v>
      </c>
      <c r="B959" s="8" t="s">
        <v>1087</v>
      </c>
      <c r="C959" s="25" t="s">
        <v>1273</v>
      </c>
      <c r="D959" s="6">
        <v>3002278</v>
      </c>
      <c r="E959" s="9" t="s">
        <v>1153</v>
      </c>
      <c r="F959" s="9" t="s">
        <v>1088</v>
      </c>
      <c r="G959" s="31">
        <v>17.430000000000003</v>
      </c>
      <c r="I959" s="2">
        <f>VLOOKUP(C959,[1]Sheet1!$C:$G,5,FALSE)</f>
        <v>16.600000000000001</v>
      </c>
      <c r="J959" s="33">
        <f t="shared" si="15"/>
        <v>5.0000000000000107E-2</v>
      </c>
    </row>
    <row r="960" spans="1:10" x14ac:dyDescent="0.3">
      <c r="A960" s="26" t="s">
        <v>828</v>
      </c>
      <c r="B960" s="8" t="s">
        <v>1087</v>
      </c>
      <c r="C960" s="25" t="s">
        <v>1274</v>
      </c>
      <c r="D960" s="6">
        <v>3002279</v>
      </c>
      <c r="E960" s="9" t="s">
        <v>1089</v>
      </c>
      <c r="F960" s="9" t="s">
        <v>1088</v>
      </c>
      <c r="G960" s="31">
        <v>22.26</v>
      </c>
      <c r="I960" s="2">
        <f>VLOOKUP(C960,[1]Sheet1!$C:$G,5,FALSE)</f>
        <v>21.2</v>
      </c>
      <c r="J960" s="33">
        <f t="shared" si="15"/>
        <v>5.0000000000000107E-2</v>
      </c>
    </row>
    <row r="961" spans="1:10" x14ac:dyDescent="0.3">
      <c r="A961" s="26" t="s">
        <v>828</v>
      </c>
      <c r="B961" s="8" t="s">
        <v>2328</v>
      </c>
      <c r="C961" s="8" t="s">
        <v>2238</v>
      </c>
      <c r="D961" s="6">
        <v>3002301</v>
      </c>
      <c r="E961" s="9" t="s">
        <v>2286</v>
      </c>
      <c r="F961" s="9" t="s">
        <v>1125</v>
      </c>
      <c r="G961" s="31">
        <v>25.355068200000002</v>
      </c>
      <c r="J961" s="33"/>
    </row>
    <row r="962" spans="1:10" x14ac:dyDescent="0.3">
      <c r="A962" s="26" t="s">
        <v>828</v>
      </c>
      <c r="B962" s="8" t="s">
        <v>1087</v>
      </c>
      <c r="C962" s="25" t="s">
        <v>1275</v>
      </c>
      <c r="D962" s="6">
        <v>3002423</v>
      </c>
      <c r="E962" s="9" t="s">
        <v>1132</v>
      </c>
      <c r="F962" s="9" t="s">
        <v>1099</v>
      </c>
      <c r="G962" s="31">
        <v>48.636000000000003</v>
      </c>
      <c r="I962" s="2">
        <f>VLOOKUP(C962,[1]Sheet1!$C:$G,5,FALSE)</f>
        <v>46.32</v>
      </c>
      <c r="J962" s="33">
        <f t="shared" si="15"/>
        <v>5.0000000000000051E-2</v>
      </c>
    </row>
    <row r="963" spans="1:10" x14ac:dyDescent="0.3">
      <c r="A963" s="26" t="s">
        <v>828</v>
      </c>
      <c r="B963" s="8" t="s">
        <v>1087</v>
      </c>
      <c r="C963" s="25" t="s">
        <v>1276</v>
      </c>
      <c r="D963" s="6">
        <v>3002447</v>
      </c>
      <c r="E963" s="9" t="s">
        <v>1130</v>
      </c>
      <c r="F963" s="9" t="s">
        <v>1099</v>
      </c>
      <c r="G963" s="31">
        <v>46.808999999999997</v>
      </c>
      <c r="I963" s="2">
        <f>VLOOKUP(C963,[1]Sheet1!$C:$G,5,FALSE)</f>
        <v>44.58</v>
      </c>
      <c r="J963" s="33">
        <f t="shared" si="15"/>
        <v>4.9999999999999982E-2</v>
      </c>
    </row>
    <row r="964" spans="1:10" x14ac:dyDescent="0.3">
      <c r="A964" s="26" t="s">
        <v>828</v>
      </c>
      <c r="B964" s="8" t="s">
        <v>1087</v>
      </c>
      <c r="C964" s="25" t="s">
        <v>1277</v>
      </c>
      <c r="D964" s="6">
        <v>3002507</v>
      </c>
      <c r="E964" s="9" t="s">
        <v>1131</v>
      </c>
      <c r="F964" s="9" t="s">
        <v>1099</v>
      </c>
      <c r="G964" s="31">
        <v>49.780499999999996</v>
      </c>
      <c r="I964" s="2">
        <f>VLOOKUP(C964,[1]Sheet1!$C:$G,5,FALSE)</f>
        <v>47.41</v>
      </c>
      <c r="J964" s="33">
        <f t="shared" si="15"/>
        <v>0.05</v>
      </c>
    </row>
    <row r="965" spans="1:10" x14ac:dyDescent="0.3">
      <c r="A965" s="26" t="s">
        <v>828</v>
      </c>
      <c r="B965" s="8" t="s">
        <v>1087</v>
      </c>
      <c r="C965" s="25" t="s">
        <v>1278</v>
      </c>
      <c r="D965" s="6">
        <v>3002533</v>
      </c>
      <c r="E965" s="9" t="s">
        <v>1134</v>
      </c>
      <c r="F965" s="9" t="s">
        <v>1099</v>
      </c>
      <c r="G965" s="31">
        <v>50.358000000000004</v>
      </c>
      <c r="I965" s="2">
        <f>VLOOKUP(C965,[1]Sheet1!$C:$G,5,FALSE)</f>
        <v>47.96</v>
      </c>
      <c r="J965" s="33">
        <f t="shared" si="15"/>
        <v>5.0000000000000065E-2</v>
      </c>
    </row>
    <row r="966" spans="1:10" x14ac:dyDescent="0.3">
      <c r="A966" s="26" t="s">
        <v>828</v>
      </c>
      <c r="B966" s="8" t="s">
        <v>1087</v>
      </c>
      <c r="C966" s="25" t="s">
        <v>1279</v>
      </c>
      <c r="D966" s="6">
        <v>3002570</v>
      </c>
      <c r="E966" s="9" t="s">
        <v>1146</v>
      </c>
      <c r="F966" s="9" t="s">
        <v>1137</v>
      </c>
      <c r="G966" s="31">
        <v>24.517500000000002</v>
      </c>
      <c r="I966" s="2">
        <f>VLOOKUP(C966,[1]Sheet1!$C:$G,5,FALSE)</f>
        <v>23.35</v>
      </c>
      <c r="J966" s="33">
        <f t="shared" si="15"/>
        <v>5.0000000000000017E-2</v>
      </c>
    </row>
    <row r="967" spans="1:10" x14ac:dyDescent="0.3">
      <c r="A967" s="26" t="s">
        <v>828</v>
      </c>
      <c r="B967" s="8" t="s">
        <v>1087</v>
      </c>
      <c r="C967" s="25" t="s">
        <v>1280</v>
      </c>
      <c r="D967" s="6">
        <v>3002571</v>
      </c>
      <c r="E967" s="9" t="s">
        <v>1138</v>
      </c>
      <c r="F967" s="9" t="s">
        <v>1137</v>
      </c>
      <c r="G967" s="31">
        <v>59.451000000000001</v>
      </c>
      <c r="I967" s="2">
        <f>VLOOKUP(C967,[1]Sheet1!$C:$G,5,FALSE)</f>
        <v>56.62</v>
      </c>
      <c r="J967" s="33">
        <f t="shared" si="15"/>
        <v>5.0000000000000058E-2</v>
      </c>
    </row>
    <row r="968" spans="1:10" x14ac:dyDescent="0.3">
      <c r="A968" s="26" t="s">
        <v>828</v>
      </c>
      <c r="B968" s="8" t="s">
        <v>1087</v>
      </c>
      <c r="C968" s="25" t="s">
        <v>1281</v>
      </c>
      <c r="D968" s="6">
        <v>3002572</v>
      </c>
      <c r="E968" s="9" t="s">
        <v>1145</v>
      </c>
      <c r="F968" s="9" t="s">
        <v>1137</v>
      </c>
      <c r="G968" s="31">
        <v>93.051000000000002</v>
      </c>
      <c r="I968" s="2">
        <f>VLOOKUP(C968,[1]Sheet1!$C:$G,5,FALSE)</f>
        <v>88.62</v>
      </c>
      <c r="J968" s="33">
        <f t="shared" si="15"/>
        <v>4.9999999999999968E-2</v>
      </c>
    </row>
    <row r="969" spans="1:10" x14ac:dyDescent="0.3">
      <c r="A969" s="26" t="s">
        <v>828</v>
      </c>
      <c r="B969" s="8" t="s">
        <v>2328</v>
      </c>
      <c r="C969" s="8" t="s">
        <v>2239</v>
      </c>
      <c r="D969" s="6">
        <v>3002918</v>
      </c>
      <c r="E969" s="9" t="s">
        <v>2287</v>
      </c>
      <c r="F969" s="9" t="s">
        <v>1125</v>
      </c>
      <c r="G969" s="31">
        <v>12.753304200000001</v>
      </c>
      <c r="J969" s="33"/>
    </row>
    <row r="970" spans="1:10" x14ac:dyDescent="0.3">
      <c r="A970" s="26" t="s">
        <v>828</v>
      </c>
      <c r="B970" s="8" t="s">
        <v>2328</v>
      </c>
      <c r="C970" s="8" t="s">
        <v>2240</v>
      </c>
      <c r="D970" s="6">
        <v>3002919</v>
      </c>
      <c r="E970" s="9" t="s">
        <v>2288</v>
      </c>
      <c r="F970" s="9" t="s">
        <v>1125</v>
      </c>
      <c r="G970" s="31">
        <v>15.556797899999999</v>
      </c>
      <c r="J970" s="33"/>
    </row>
    <row r="971" spans="1:10" x14ac:dyDescent="0.3">
      <c r="A971" s="26" t="s">
        <v>828</v>
      </c>
      <c r="B971" s="8" t="s">
        <v>1087</v>
      </c>
      <c r="C971" s="25" t="s">
        <v>1282</v>
      </c>
      <c r="D971" s="6">
        <v>3003602</v>
      </c>
      <c r="E971" s="9" t="s">
        <v>1186</v>
      </c>
      <c r="F971" s="9" t="s">
        <v>1125</v>
      </c>
      <c r="G971" s="31">
        <v>6.048</v>
      </c>
      <c r="I971" s="2">
        <f>VLOOKUP(C971,[1]Sheet1!$C:$G,5,FALSE)</f>
        <v>5.76</v>
      </c>
      <c r="J971" s="33">
        <f t="shared" si="15"/>
        <v>5.0000000000000044E-2</v>
      </c>
    </row>
    <row r="972" spans="1:10" x14ac:dyDescent="0.3">
      <c r="A972" s="26" t="s">
        <v>828</v>
      </c>
      <c r="B972" s="8" t="s">
        <v>2328</v>
      </c>
      <c r="C972" s="8" t="s">
        <v>2241</v>
      </c>
      <c r="D972" s="6">
        <v>3003785</v>
      </c>
      <c r="E972" s="9" t="s">
        <v>2289</v>
      </c>
      <c r="F972" s="9" t="s">
        <v>1125</v>
      </c>
      <c r="G972" s="31">
        <v>48.034255500000008</v>
      </c>
      <c r="J972" s="33"/>
    </row>
    <row r="973" spans="1:10" x14ac:dyDescent="0.3">
      <c r="A973" s="26" t="s">
        <v>828</v>
      </c>
      <c r="B973" s="8" t="s">
        <v>2328</v>
      </c>
      <c r="C973" s="8" t="s">
        <v>2242</v>
      </c>
      <c r="D973" s="6">
        <v>3003796</v>
      </c>
      <c r="E973" s="9" t="s">
        <v>2290</v>
      </c>
      <c r="F973" s="9" t="s">
        <v>1125</v>
      </c>
      <c r="G973" s="31">
        <v>7.0027524000000003</v>
      </c>
      <c r="J973" s="33"/>
    </row>
    <row r="974" spans="1:10" x14ac:dyDescent="0.3">
      <c r="A974" s="26" t="s">
        <v>828</v>
      </c>
      <c r="B974" s="8" t="s">
        <v>2328</v>
      </c>
      <c r="C974" s="8" t="s">
        <v>2243</v>
      </c>
      <c r="D974" s="6">
        <v>3003817</v>
      </c>
      <c r="E974" s="9" t="s">
        <v>2291</v>
      </c>
      <c r="F974" s="9" t="s">
        <v>1125</v>
      </c>
      <c r="G974" s="31">
        <v>4.635215928</v>
      </c>
      <c r="J974" s="33"/>
    </row>
    <row r="975" spans="1:10" x14ac:dyDescent="0.3">
      <c r="A975" s="26" t="s">
        <v>828</v>
      </c>
      <c r="B975" s="8" t="s">
        <v>2328</v>
      </c>
      <c r="C975" s="8" t="s">
        <v>2244</v>
      </c>
      <c r="D975" s="6">
        <v>3003825</v>
      </c>
      <c r="E975" s="9" t="s">
        <v>2292</v>
      </c>
      <c r="F975" s="9" t="s">
        <v>1125</v>
      </c>
      <c r="G975" s="31">
        <v>65.250019800000004</v>
      </c>
      <c r="J975" s="33"/>
    </row>
    <row r="976" spans="1:10" x14ac:dyDescent="0.3">
      <c r="A976" s="26" t="s">
        <v>828</v>
      </c>
      <c r="B976" s="8" t="s">
        <v>2328</v>
      </c>
      <c r="C976" s="8" t="s">
        <v>2245</v>
      </c>
      <c r="D976" s="6">
        <v>3003828</v>
      </c>
      <c r="E976" s="9" t="s">
        <v>2293</v>
      </c>
      <c r="F976" s="9" t="s">
        <v>1125</v>
      </c>
      <c r="G976" s="31">
        <v>15.317523900000001</v>
      </c>
      <c r="J976" s="33"/>
    </row>
    <row r="977" spans="1:10" x14ac:dyDescent="0.3">
      <c r="A977" s="26" t="s">
        <v>828</v>
      </c>
      <c r="B977" s="8" t="s">
        <v>2328</v>
      </c>
      <c r="C977" s="8" t="s">
        <v>2246</v>
      </c>
      <c r="D977" s="6">
        <v>3003850</v>
      </c>
      <c r="E977" s="9" t="s">
        <v>2294</v>
      </c>
      <c r="F977" s="9" t="s">
        <v>1125</v>
      </c>
      <c r="G977" s="31">
        <v>7.9917516000000015</v>
      </c>
      <c r="J977" s="33"/>
    </row>
    <row r="978" spans="1:10" x14ac:dyDescent="0.3">
      <c r="A978" s="26" t="s">
        <v>828</v>
      </c>
      <c r="B978" s="8" t="s">
        <v>1087</v>
      </c>
      <c r="C978" s="25" t="s">
        <v>1193</v>
      </c>
      <c r="D978" s="6">
        <v>3005708</v>
      </c>
      <c r="E978" s="9" t="s">
        <v>1194</v>
      </c>
      <c r="F978" s="9" t="s">
        <v>1125</v>
      </c>
      <c r="G978" s="31">
        <v>28.14</v>
      </c>
      <c r="I978" s="2">
        <f>VLOOKUP(C978,[1]Sheet1!$C:$G,5,FALSE)</f>
        <v>26.8</v>
      </c>
      <c r="J978" s="33">
        <f t="shared" si="15"/>
        <v>4.9999999999999996E-2</v>
      </c>
    </row>
    <row r="979" spans="1:10" x14ac:dyDescent="0.3">
      <c r="A979" s="26" t="s">
        <v>828</v>
      </c>
      <c r="B979" s="8" t="s">
        <v>1087</v>
      </c>
      <c r="C979" s="25" t="s">
        <v>1283</v>
      </c>
      <c r="D979" s="6">
        <v>3005711</v>
      </c>
      <c r="E979" s="12" t="s">
        <v>1205</v>
      </c>
      <c r="F979" s="12" t="s">
        <v>1206</v>
      </c>
      <c r="G979" s="31">
        <v>24.202500000000001</v>
      </c>
      <c r="I979" s="2">
        <f>VLOOKUP(C979,[1]Sheet1!$C:$G,5,FALSE)</f>
        <v>23.05</v>
      </c>
      <c r="J979" s="33">
        <f t="shared" si="15"/>
        <v>4.9999999999999989E-2</v>
      </c>
    </row>
    <row r="980" spans="1:10" x14ac:dyDescent="0.3">
      <c r="A980" s="26" t="s">
        <v>828</v>
      </c>
      <c r="B980" s="8" t="s">
        <v>1087</v>
      </c>
      <c r="C980" s="25" t="s">
        <v>1284</v>
      </c>
      <c r="D980" s="6">
        <v>3005719</v>
      </c>
      <c r="E980" s="9" t="s">
        <v>1095</v>
      </c>
      <c r="F980" s="9" t="s">
        <v>1088</v>
      </c>
      <c r="G980" s="31">
        <v>4.3960140000000001</v>
      </c>
      <c r="I980" s="2">
        <f>VLOOKUP(C980,[1]Sheet1!$C:$G,5,FALSE)</f>
        <v>4.17</v>
      </c>
      <c r="J980" s="33">
        <f t="shared" si="15"/>
        <v>5.420000000000004E-2</v>
      </c>
    </row>
    <row r="981" spans="1:10" x14ac:dyDescent="0.3">
      <c r="A981" s="26" t="s">
        <v>828</v>
      </c>
      <c r="B981" s="8" t="s">
        <v>1087</v>
      </c>
      <c r="C981" s="25" t="s">
        <v>1285</v>
      </c>
      <c r="D981" s="6">
        <v>3005721</v>
      </c>
      <c r="E981" s="12" t="s">
        <v>1208</v>
      </c>
      <c r="F981" s="12" t="s">
        <v>1209</v>
      </c>
      <c r="G981" s="31">
        <v>25.326000000000001</v>
      </c>
      <c r="I981" s="2">
        <f>VLOOKUP(C981,[1]Sheet1!$C:$G,5,FALSE)</f>
        <v>24.12</v>
      </c>
      <c r="J981" s="33">
        <f t="shared" si="15"/>
        <v>4.9999999999999975E-2</v>
      </c>
    </row>
    <row r="982" spans="1:10" x14ac:dyDescent="0.3">
      <c r="A982" s="26" t="s">
        <v>828</v>
      </c>
      <c r="B982" s="8" t="s">
        <v>1087</v>
      </c>
      <c r="C982" s="25" t="s">
        <v>1286</v>
      </c>
      <c r="D982" s="6">
        <v>3005724</v>
      </c>
      <c r="E982" s="9" t="s">
        <v>1033</v>
      </c>
      <c r="F982" s="9" t="s">
        <v>1088</v>
      </c>
      <c r="G982" s="31">
        <v>13.503</v>
      </c>
      <c r="I982" s="2">
        <f>VLOOKUP(C982,[1]Sheet1!$C:$G,5,FALSE)</f>
        <v>12.86</v>
      </c>
      <c r="J982" s="33">
        <f t="shared" si="15"/>
        <v>5.0000000000000058E-2</v>
      </c>
    </row>
    <row r="983" spans="1:10" x14ac:dyDescent="0.3">
      <c r="A983" s="26" t="s">
        <v>828</v>
      </c>
      <c r="B983" s="8" t="s">
        <v>1087</v>
      </c>
      <c r="C983" s="25" t="s">
        <v>1287</v>
      </c>
      <c r="D983" s="6">
        <v>3005775</v>
      </c>
      <c r="E983" s="9" t="s">
        <v>1180</v>
      </c>
      <c r="F983" s="9" t="s">
        <v>1088</v>
      </c>
      <c r="G983" s="31">
        <v>65.929500000000004</v>
      </c>
      <c r="I983" s="2">
        <f>VLOOKUP(C983,[1]Sheet1!$C:$G,5,FALSE)</f>
        <v>62.79</v>
      </c>
      <c r="J983" s="33">
        <f t="shared" si="15"/>
        <v>5.0000000000000086E-2</v>
      </c>
    </row>
    <row r="984" spans="1:10" x14ac:dyDescent="0.3">
      <c r="A984" s="26" t="s">
        <v>828</v>
      </c>
      <c r="B984" s="8" t="s">
        <v>1087</v>
      </c>
      <c r="C984" s="25" t="s">
        <v>1288</v>
      </c>
      <c r="D984" s="6">
        <v>3005787</v>
      </c>
      <c r="E984" s="9" t="s">
        <v>1289</v>
      </c>
      <c r="F984" s="9" t="s">
        <v>2206</v>
      </c>
      <c r="G984" s="31">
        <v>10.2585</v>
      </c>
      <c r="I984" s="2">
        <f>VLOOKUP(C984,[1]Sheet1!$C:$G,5,FALSE)</f>
        <v>9.77</v>
      </c>
      <c r="J984" s="33">
        <f t="shared" si="15"/>
        <v>5.0000000000000017E-2</v>
      </c>
    </row>
    <row r="985" spans="1:10" x14ac:dyDescent="0.3">
      <c r="A985" s="26" t="s">
        <v>828</v>
      </c>
      <c r="B985" s="8" t="s">
        <v>1087</v>
      </c>
      <c r="C985" s="25" t="s">
        <v>1290</v>
      </c>
      <c r="D985" s="6">
        <v>3005788</v>
      </c>
      <c r="E985" s="12" t="s">
        <v>1135</v>
      </c>
      <c r="F985" s="9" t="s">
        <v>1097</v>
      </c>
      <c r="G985" s="31">
        <v>26.187000000000001</v>
      </c>
      <c r="I985" s="2">
        <f>VLOOKUP(C985,[1]Sheet1!$C:$G,5,FALSE)</f>
        <v>24.94</v>
      </c>
      <c r="J985" s="33">
        <f t="shared" si="15"/>
        <v>4.9999999999999996E-2</v>
      </c>
    </row>
    <row r="986" spans="1:10" x14ac:dyDescent="0.3">
      <c r="A986" s="26" t="s">
        <v>828</v>
      </c>
      <c r="B986" s="8" t="s">
        <v>2328</v>
      </c>
      <c r="C986" s="8" t="s">
        <v>2247</v>
      </c>
      <c r="D986" s="6">
        <v>3005789</v>
      </c>
      <c r="E986" s="9" t="s">
        <v>2295</v>
      </c>
      <c r="F986" s="9" t="s">
        <v>1125</v>
      </c>
      <c r="G986" s="31">
        <v>5.6468664000000004</v>
      </c>
      <c r="J986" s="33"/>
    </row>
    <row r="987" spans="1:10" x14ac:dyDescent="0.3">
      <c r="A987" s="26" t="s">
        <v>828</v>
      </c>
      <c r="B987" s="8" t="s">
        <v>2328</v>
      </c>
      <c r="C987" s="8" t="s">
        <v>2248</v>
      </c>
      <c r="D987" s="6">
        <v>3005791</v>
      </c>
      <c r="E987" s="9" t="s">
        <v>2296</v>
      </c>
      <c r="F987" s="9" t="s">
        <v>1125</v>
      </c>
      <c r="G987" s="31">
        <v>14.902782300000002</v>
      </c>
      <c r="J987" s="33"/>
    </row>
    <row r="988" spans="1:10" x14ac:dyDescent="0.3">
      <c r="A988" s="26" t="s">
        <v>828</v>
      </c>
      <c r="B988" s="8" t="s">
        <v>1087</v>
      </c>
      <c r="C988" s="25" t="s">
        <v>1291</v>
      </c>
      <c r="D988" s="6">
        <v>3005795</v>
      </c>
      <c r="E988" s="9" t="s">
        <v>1139</v>
      </c>
      <c r="F988" s="9" t="s">
        <v>1137</v>
      </c>
      <c r="G988" s="31">
        <v>10.563000000000001</v>
      </c>
      <c r="I988" s="2">
        <f>VLOOKUP(C988,[1]Sheet1!$C:$G,5,FALSE)</f>
        <v>10.06</v>
      </c>
      <c r="J988" s="33">
        <f t="shared" si="15"/>
        <v>5.000000000000001E-2</v>
      </c>
    </row>
    <row r="989" spans="1:10" x14ac:dyDescent="0.3">
      <c r="A989" s="26" t="s">
        <v>828</v>
      </c>
      <c r="B989" s="8" t="s">
        <v>1087</v>
      </c>
      <c r="C989" s="25" t="s">
        <v>1292</v>
      </c>
      <c r="D989" s="6">
        <v>3005799</v>
      </c>
      <c r="E989" s="9" t="s">
        <v>1144</v>
      </c>
      <c r="F989" s="9" t="s">
        <v>1137</v>
      </c>
      <c r="G989" s="31">
        <v>55.408500000000004</v>
      </c>
      <c r="I989" s="2">
        <f>VLOOKUP(C989,[1]Sheet1!$C:$G,5,FALSE)</f>
        <v>52.77</v>
      </c>
      <c r="J989" s="33">
        <f t="shared" si="15"/>
        <v>5.000000000000001E-2</v>
      </c>
    </row>
    <row r="990" spans="1:10" x14ac:dyDescent="0.3">
      <c r="A990" s="26" t="s">
        <v>828</v>
      </c>
      <c r="B990" s="8" t="s">
        <v>2328</v>
      </c>
      <c r="C990" s="8" t="s">
        <v>2249</v>
      </c>
      <c r="D990" s="6">
        <v>3005820</v>
      </c>
      <c r="E990" s="9" t="s">
        <v>2297</v>
      </c>
      <c r="F990" s="9" t="s">
        <v>1125</v>
      </c>
      <c r="G990" s="31">
        <v>67.096417500000001</v>
      </c>
      <c r="J990" s="33"/>
    </row>
    <row r="991" spans="1:10" x14ac:dyDescent="0.3">
      <c r="A991" s="26" t="s">
        <v>828</v>
      </c>
      <c r="B991" s="8" t="s">
        <v>1087</v>
      </c>
      <c r="C991" s="25" t="s">
        <v>1210</v>
      </c>
      <c r="D991" s="6">
        <v>3005971</v>
      </c>
      <c r="E991" s="9" t="s">
        <v>1204</v>
      </c>
      <c r="F991" s="9" t="s">
        <v>1088</v>
      </c>
      <c r="G991" s="31">
        <v>10.5105</v>
      </c>
      <c r="I991" s="2">
        <f>VLOOKUP(C991,[1]Sheet1!$C:$G,5,FALSE)</f>
        <v>10.01</v>
      </c>
      <c r="J991" s="33">
        <f t="shared" si="15"/>
        <v>5.0000000000000065E-2</v>
      </c>
    </row>
    <row r="992" spans="1:10" x14ac:dyDescent="0.3">
      <c r="A992" s="26" t="s">
        <v>828</v>
      </c>
      <c r="B992" s="8" t="s">
        <v>1087</v>
      </c>
      <c r="C992" s="25" t="s">
        <v>1293</v>
      </c>
      <c r="D992" s="6">
        <v>3006001</v>
      </c>
      <c r="E992" s="9" t="s">
        <v>1178</v>
      </c>
      <c r="F992" s="9" t="s">
        <v>1179</v>
      </c>
      <c r="G992" s="31">
        <v>43.5015</v>
      </c>
      <c r="I992" s="2">
        <f>VLOOKUP(C992,[1]Sheet1!$C:$G,5,FALSE)</f>
        <v>41.43</v>
      </c>
      <c r="J992" s="33">
        <f t="shared" si="15"/>
        <v>5.000000000000001E-2</v>
      </c>
    </row>
    <row r="993" spans="1:10" x14ac:dyDescent="0.3">
      <c r="A993" s="26" t="s">
        <v>828</v>
      </c>
      <c r="B993" s="8" t="s">
        <v>1087</v>
      </c>
      <c r="C993" s="25" t="s">
        <v>1909</v>
      </c>
      <c r="D993" s="6">
        <v>3006384</v>
      </c>
      <c r="E993" s="9" t="s">
        <v>1910</v>
      </c>
      <c r="F993" s="9" t="s">
        <v>2208</v>
      </c>
      <c r="G993" s="31">
        <v>17.997</v>
      </c>
      <c r="I993" s="2">
        <f>VLOOKUP(C993,[1]Sheet1!$C:$G,5,FALSE)</f>
        <v>17.14</v>
      </c>
      <c r="J993" s="33">
        <f t="shared" si="15"/>
        <v>4.9999999999999961E-2</v>
      </c>
    </row>
    <row r="994" spans="1:10" x14ac:dyDescent="0.3">
      <c r="A994" s="26" t="s">
        <v>828</v>
      </c>
      <c r="B994" s="8" t="s">
        <v>1087</v>
      </c>
      <c r="C994" s="25" t="s">
        <v>1294</v>
      </c>
      <c r="D994" s="6">
        <v>3006552</v>
      </c>
      <c r="E994" s="9" t="s">
        <v>1182</v>
      </c>
      <c r="F994" s="9" t="s">
        <v>1125</v>
      </c>
      <c r="G994" s="31">
        <v>26.701499999999999</v>
      </c>
      <c r="I994" s="2">
        <f>VLOOKUP(C994,[1]Sheet1!$C:$G,5,FALSE)</f>
        <v>25.43</v>
      </c>
      <c r="J994" s="33">
        <f t="shared" si="15"/>
        <v>4.9999999999999989E-2</v>
      </c>
    </row>
    <row r="995" spans="1:10" x14ac:dyDescent="0.3">
      <c r="A995" s="26" t="s">
        <v>828</v>
      </c>
      <c r="B995" s="8" t="s">
        <v>1087</v>
      </c>
      <c r="C995" s="25" t="s">
        <v>1295</v>
      </c>
      <c r="D995" s="6">
        <v>3006553</v>
      </c>
      <c r="E995" s="9" t="s">
        <v>1090</v>
      </c>
      <c r="F995" s="9" t="s">
        <v>1088</v>
      </c>
      <c r="G995" s="31">
        <v>9.093</v>
      </c>
      <c r="I995" s="2">
        <f>VLOOKUP(C995,[1]Sheet1!$C:$G,5,FALSE)</f>
        <v>8.66</v>
      </c>
      <c r="J995" s="33">
        <f t="shared" ref="J995:J1054" si="16">(G995-I995)/I995</f>
        <v>4.9999999999999982E-2</v>
      </c>
    </row>
    <row r="996" spans="1:10" x14ac:dyDescent="0.3">
      <c r="A996" s="26" t="s">
        <v>828</v>
      </c>
      <c r="B996" s="8" t="s">
        <v>2328</v>
      </c>
      <c r="C996" s="8" t="s">
        <v>2250</v>
      </c>
      <c r="D996" s="6">
        <v>3006706</v>
      </c>
      <c r="E996" s="9" t="s">
        <v>2298</v>
      </c>
      <c r="F996" s="9" t="s">
        <v>1125</v>
      </c>
      <c r="G996" s="31">
        <v>7.7564655</v>
      </c>
      <c r="J996" s="33"/>
    </row>
    <row r="997" spans="1:10" x14ac:dyDescent="0.3">
      <c r="A997" s="26" t="s">
        <v>828</v>
      </c>
      <c r="B997" s="8" t="s">
        <v>2328</v>
      </c>
      <c r="C997" s="8" t="s">
        <v>2251</v>
      </c>
      <c r="D997" s="6">
        <v>3006708</v>
      </c>
      <c r="E997" s="9" t="s">
        <v>2299</v>
      </c>
      <c r="F997" s="9" t="s">
        <v>1125</v>
      </c>
      <c r="G997" s="31">
        <v>8.8052831999999999</v>
      </c>
      <c r="J997" s="33"/>
    </row>
    <row r="998" spans="1:10" x14ac:dyDescent="0.3">
      <c r="A998" s="26" t="s">
        <v>828</v>
      </c>
      <c r="B998" s="8" t="s">
        <v>2328</v>
      </c>
      <c r="C998" s="8" t="s">
        <v>2252</v>
      </c>
      <c r="D998" s="6">
        <v>3006709</v>
      </c>
      <c r="E998" s="9" t="s">
        <v>2299</v>
      </c>
      <c r="F998" s="9" t="s">
        <v>1125</v>
      </c>
      <c r="G998" s="31">
        <v>9.4792383000000005</v>
      </c>
      <c r="J998" s="33"/>
    </row>
    <row r="999" spans="1:10" x14ac:dyDescent="0.3">
      <c r="A999" s="26" t="s">
        <v>828</v>
      </c>
      <c r="B999" s="8" t="s">
        <v>2328</v>
      </c>
      <c r="C999" s="8" t="s">
        <v>2253</v>
      </c>
      <c r="D999" s="6">
        <v>3006710</v>
      </c>
      <c r="E999" s="9" t="s">
        <v>2300</v>
      </c>
      <c r="F999" s="9" t="s">
        <v>1125</v>
      </c>
      <c r="G999" s="31">
        <v>4.2989562000000001</v>
      </c>
      <c r="J999" s="33"/>
    </row>
    <row r="1000" spans="1:10" x14ac:dyDescent="0.3">
      <c r="A1000" s="26" t="s">
        <v>828</v>
      </c>
      <c r="B1000" s="8" t="s">
        <v>1087</v>
      </c>
      <c r="C1000" s="25" t="s">
        <v>1296</v>
      </c>
      <c r="D1000" s="6">
        <v>3006911</v>
      </c>
      <c r="E1000" s="9" t="s">
        <v>1197</v>
      </c>
      <c r="F1000" s="9" t="s">
        <v>1088</v>
      </c>
      <c r="G1000" s="31">
        <v>39.438000000000002</v>
      </c>
      <c r="I1000" s="2">
        <f>VLOOKUP(C1000,[1]Sheet1!$C:$G,5,FALSE)</f>
        <v>37.56</v>
      </c>
      <c r="J1000" s="33">
        <f t="shared" si="16"/>
        <v>0.05</v>
      </c>
    </row>
    <row r="1001" spans="1:10" x14ac:dyDescent="0.3">
      <c r="A1001" s="26" t="s">
        <v>828</v>
      </c>
      <c r="B1001" s="8" t="s">
        <v>2328</v>
      </c>
      <c r="C1001" s="8" t="s">
        <v>2254</v>
      </c>
      <c r="D1001" s="6">
        <v>3006943</v>
      </c>
      <c r="E1001" s="9" t="s">
        <v>2298</v>
      </c>
      <c r="F1001" s="9" t="s">
        <v>1125</v>
      </c>
      <c r="G1001" s="31">
        <v>7.0785225000000001</v>
      </c>
      <c r="J1001" s="33"/>
    </row>
    <row r="1002" spans="1:10" x14ac:dyDescent="0.3">
      <c r="A1002" s="26" t="s">
        <v>828</v>
      </c>
      <c r="B1002" s="8" t="s">
        <v>1087</v>
      </c>
      <c r="C1002" s="25" t="s">
        <v>1297</v>
      </c>
      <c r="D1002" s="6">
        <v>3007132</v>
      </c>
      <c r="E1002" s="9" t="s">
        <v>1207</v>
      </c>
      <c r="F1002" s="9" t="s">
        <v>1125</v>
      </c>
      <c r="G1002" s="31">
        <v>34.303500000000007</v>
      </c>
      <c r="I1002" s="2">
        <f>VLOOKUP(C1002,[1]Sheet1!$C:$G,5,FALSE)</f>
        <v>32.67</v>
      </c>
      <c r="J1002" s="33">
        <f t="shared" si="16"/>
        <v>5.0000000000000155E-2</v>
      </c>
    </row>
    <row r="1003" spans="1:10" x14ac:dyDescent="0.3">
      <c r="A1003" s="26" t="s">
        <v>828</v>
      </c>
      <c r="B1003" s="8" t="s">
        <v>1087</v>
      </c>
      <c r="C1003" s="25" t="s">
        <v>1298</v>
      </c>
      <c r="D1003" s="6">
        <v>3007169</v>
      </c>
      <c r="E1003" s="9" t="s">
        <v>1091</v>
      </c>
      <c r="F1003" s="9" t="s">
        <v>1088</v>
      </c>
      <c r="G1003" s="31">
        <v>11.936190000000002</v>
      </c>
      <c r="I1003" s="2">
        <f>VLOOKUP(C1003,[1]Sheet1!$C:$G,5,FALSE)</f>
        <v>11.3</v>
      </c>
      <c r="J1003" s="33">
        <f t="shared" si="16"/>
        <v>5.6300000000000079E-2</v>
      </c>
    </row>
    <row r="1004" spans="1:10" x14ac:dyDescent="0.3">
      <c r="A1004" s="26" t="s">
        <v>828</v>
      </c>
      <c r="B1004" s="8" t="s">
        <v>1087</v>
      </c>
      <c r="C1004" s="25" t="s">
        <v>1299</v>
      </c>
      <c r="D1004" s="6">
        <v>3007175</v>
      </c>
      <c r="E1004" s="9" t="s">
        <v>1093</v>
      </c>
      <c r="F1004" s="9" t="s">
        <v>1094</v>
      </c>
      <c r="G1004" s="31">
        <v>21.791983499999997</v>
      </c>
      <c r="I1004" s="2">
        <f>VLOOKUP(C1004,[1]Sheet1!$C:$G,5,FALSE)</f>
        <v>20.61</v>
      </c>
      <c r="J1004" s="33">
        <f t="shared" si="16"/>
        <v>5.7349999999999887E-2</v>
      </c>
    </row>
    <row r="1005" spans="1:10" x14ac:dyDescent="0.3">
      <c r="A1005" s="26" t="s">
        <v>828</v>
      </c>
      <c r="B1005" s="8" t="s">
        <v>1087</v>
      </c>
      <c r="C1005" s="25" t="s">
        <v>1300</v>
      </c>
      <c r="D1005" s="6">
        <v>3007176</v>
      </c>
      <c r="E1005" s="9" t="s">
        <v>1116</v>
      </c>
      <c r="F1005" s="9" t="s">
        <v>1099</v>
      </c>
      <c r="G1005" s="31">
        <v>12.327</v>
      </c>
      <c r="I1005" s="2">
        <f>VLOOKUP(C1005,[1]Sheet1!$C:$G,5,FALSE)</f>
        <v>11.74</v>
      </c>
      <c r="J1005" s="33">
        <f t="shared" si="16"/>
        <v>4.9999999999999975E-2</v>
      </c>
    </row>
    <row r="1006" spans="1:10" x14ac:dyDescent="0.3">
      <c r="A1006" s="26" t="s">
        <v>828</v>
      </c>
      <c r="B1006" s="8" t="s">
        <v>2328</v>
      </c>
      <c r="C1006" s="8" t="s">
        <v>2255</v>
      </c>
      <c r="D1006" s="6">
        <v>3007177</v>
      </c>
      <c r="E1006" s="9" t="s">
        <v>2301</v>
      </c>
      <c r="F1006" s="9" t="s">
        <v>1125</v>
      </c>
      <c r="G1006" s="31">
        <v>3.7011620141999999</v>
      </c>
      <c r="J1006" s="33"/>
    </row>
    <row r="1007" spans="1:10" x14ac:dyDescent="0.3">
      <c r="A1007" s="26" t="s">
        <v>828</v>
      </c>
      <c r="B1007" s="8" t="s">
        <v>1087</v>
      </c>
      <c r="C1007" s="25" t="s">
        <v>1301</v>
      </c>
      <c r="D1007" s="6">
        <v>3007178</v>
      </c>
      <c r="E1007" s="9" t="s">
        <v>1183</v>
      </c>
      <c r="F1007" s="9" t="s">
        <v>1125</v>
      </c>
      <c r="G1007" s="31">
        <v>13.440000000000001</v>
      </c>
      <c r="I1007" s="2">
        <f>VLOOKUP(C1007,[1]Sheet1!$C:$G,5,FALSE)</f>
        <v>12.8</v>
      </c>
      <c r="J1007" s="33">
        <f t="shared" si="16"/>
        <v>5.0000000000000044E-2</v>
      </c>
    </row>
    <row r="1008" spans="1:10" x14ac:dyDescent="0.3">
      <c r="A1008" s="26" t="s">
        <v>828</v>
      </c>
      <c r="B1008" s="8" t="s">
        <v>1087</v>
      </c>
      <c r="C1008" s="25" t="s">
        <v>1302</v>
      </c>
      <c r="D1008" s="6">
        <v>3007202</v>
      </c>
      <c r="E1008" s="9" t="s">
        <v>1092</v>
      </c>
      <c r="F1008" s="9" t="s">
        <v>1088</v>
      </c>
      <c r="G1008" s="31">
        <v>8.7780000000000005</v>
      </c>
      <c r="I1008" s="2">
        <f>VLOOKUP(C1008,[1]Sheet1!$C:$G,5,FALSE)</f>
        <v>8.36</v>
      </c>
      <c r="J1008" s="33">
        <f t="shared" si="16"/>
        <v>5.0000000000000128E-2</v>
      </c>
    </row>
    <row r="1009" spans="1:10" x14ac:dyDescent="0.3">
      <c r="A1009" s="26" t="s">
        <v>828</v>
      </c>
      <c r="B1009" s="8" t="s">
        <v>1087</v>
      </c>
      <c r="C1009" s="25" t="s">
        <v>1303</v>
      </c>
      <c r="D1009" s="6">
        <v>3007208</v>
      </c>
      <c r="E1009" s="9" t="s">
        <v>1192</v>
      </c>
      <c r="F1009" s="9" t="s">
        <v>1088</v>
      </c>
      <c r="G1009" s="31">
        <v>37.915500000000002</v>
      </c>
      <c r="I1009" s="2">
        <f>VLOOKUP(C1009,[1]Sheet1!$C:$G,5,FALSE)</f>
        <v>36.11</v>
      </c>
      <c r="J1009" s="33">
        <f t="shared" si="16"/>
        <v>5.0000000000000058E-2</v>
      </c>
    </row>
    <row r="1010" spans="1:10" x14ac:dyDescent="0.3">
      <c r="A1010" s="26" t="s">
        <v>828</v>
      </c>
      <c r="B1010" s="8" t="s">
        <v>1087</v>
      </c>
      <c r="C1010" s="25" t="s">
        <v>1304</v>
      </c>
      <c r="D1010" s="6">
        <v>3007502</v>
      </c>
      <c r="E1010" s="9" t="s">
        <v>1151</v>
      </c>
      <c r="F1010" s="9" t="s">
        <v>1088</v>
      </c>
      <c r="G1010" s="31">
        <v>16.9575</v>
      </c>
      <c r="I1010" s="2">
        <f>VLOOKUP(C1010,[1]Sheet1!$C:$G,5,FALSE)</f>
        <v>16.149999999999999</v>
      </c>
      <c r="J1010" s="33">
        <f t="shared" si="16"/>
        <v>5.0000000000000065E-2</v>
      </c>
    </row>
    <row r="1011" spans="1:10" x14ac:dyDescent="0.3">
      <c r="A1011" s="26" t="s">
        <v>828</v>
      </c>
      <c r="B1011" s="8" t="s">
        <v>1087</v>
      </c>
      <c r="C1011" s="25" t="s">
        <v>1305</v>
      </c>
      <c r="D1011" s="6">
        <v>3007503</v>
      </c>
      <c r="E1011" s="9" t="s">
        <v>1101</v>
      </c>
      <c r="F1011" s="9" t="s">
        <v>1088</v>
      </c>
      <c r="G1011" s="31">
        <v>25.536000000000001</v>
      </c>
      <c r="I1011" s="2">
        <f>VLOOKUP(C1011,[1]Sheet1!$C:$G,5,FALSE)</f>
        <v>24.32</v>
      </c>
      <c r="J1011" s="33">
        <f t="shared" si="16"/>
        <v>5.0000000000000044E-2</v>
      </c>
    </row>
    <row r="1012" spans="1:10" x14ac:dyDescent="0.3">
      <c r="A1012" s="26" t="s">
        <v>828</v>
      </c>
      <c r="B1012" s="8" t="s">
        <v>1087</v>
      </c>
      <c r="C1012" s="25" t="s">
        <v>1306</v>
      </c>
      <c r="D1012" s="6">
        <v>3007513</v>
      </c>
      <c r="E1012" s="9" t="s">
        <v>1101</v>
      </c>
      <c r="F1012" s="9" t="s">
        <v>1099</v>
      </c>
      <c r="G1012" s="31">
        <v>20.286000000000001</v>
      </c>
      <c r="I1012" s="2">
        <f>VLOOKUP(C1012,[1]Sheet1!$C:$G,5,FALSE)</f>
        <v>19.32</v>
      </c>
      <c r="J1012" s="33">
        <f t="shared" si="16"/>
        <v>5.0000000000000058E-2</v>
      </c>
    </row>
    <row r="1013" spans="1:10" x14ac:dyDescent="0.3">
      <c r="A1013" s="26" t="s">
        <v>828</v>
      </c>
      <c r="B1013" s="8" t="s">
        <v>1087</v>
      </c>
      <c r="C1013" s="25" t="s">
        <v>1308</v>
      </c>
      <c r="D1013" s="6">
        <v>3007623</v>
      </c>
      <c r="E1013" s="9" t="s">
        <v>1133</v>
      </c>
      <c r="F1013" s="9" t="s">
        <v>1088</v>
      </c>
      <c r="G1013" s="31">
        <v>28.076999999999998</v>
      </c>
      <c r="I1013" s="2">
        <f>VLOOKUP(C1013,[1]Sheet1!$C:$G,5,FALSE)</f>
        <v>26.74</v>
      </c>
      <c r="J1013" s="33">
        <f t="shared" si="16"/>
        <v>4.9999999999999996E-2</v>
      </c>
    </row>
    <row r="1014" spans="1:10" x14ac:dyDescent="0.3">
      <c r="A1014" s="26" t="s">
        <v>828</v>
      </c>
      <c r="B1014" s="8" t="s">
        <v>2328</v>
      </c>
      <c r="C1014" s="8" t="s">
        <v>2256</v>
      </c>
      <c r="D1014" s="6">
        <v>3007625</v>
      </c>
      <c r="E1014" s="9" t="s">
        <v>2302</v>
      </c>
      <c r="F1014" s="9" t="s">
        <v>1125</v>
      </c>
      <c r="G1014" s="31">
        <v>25.594342200000007</v>
      </c>
      <c r="J1014" s="33"/>
    </row>
    <row r="1015" spans="1:10" x14ac:dyDescent="0.3">
      <c r="A1015" s="26" t="s">
        <v>828</v>
      </c>
      <c r="B1015" s="8" t="s">
        <v>1087</v>
      </c>
      <c r="C1015" s="25" t="s">
        <v>1309</v>
      </c>
      <c r="D1015" s="6">
        <v>3007629</v>
      </c>
      <c r="E1015" s="9" t="s">
        <v>1173</v>
      </c>
      <c r="F1015" s="9" t="s">
        <v>1088</v>
      </c>
      <c r="G1015" s="31">
        <v>6.3629999999999995</v>
      </c>
      <c r="I1015" s="2">
        <f>VLOOKUP(C1015,[1]Sheet1!$C:$G,5,FALSE)</f>
        <v>6.06</v>
      </c>
      <c r="J1015" s="33">
        <f t="shared" si="16"/>
        <v>4.9999999999999996E-2</v>
      </c>
    </row>
    <row r="1016" spans="1:10" x14ac:dyDescent="0.3">
      <c r="A1016" s="26" t="s">
        <v>828</v>
      </c>
      <c r="B1016" s="8" t="s">
        <v>1087</v>
      </c>
      <c r="C1016" s="25" t="s">
        <v>1310</v>
      </c>
      <c r="D1016" s="6">
        <v>3007630</v>
      </c>
      <c r="E1016" s="9" t="s">
        <v>1184</v>
      </c>
      <c r="F1016" s="9" t="s">
        <v>1088</v>
      </c>
      <c r="G1016" s="31">
        <v>6.7095000000000002</v>
      </c>
      <c r="I1016" s="2">
        <f>VLOOKUP(C1016,[1]Sheet1!$C:$G,5,FALSE)</f>
        <v>6.39</v>
      </c>
      <c r="J1016" s="33">
        <f t="shared" si="16"/>
        <v>5.0000000000000093E-2</v>
      </c>
    </row>
    <row r="1017" spans="1:10" x14ac:dyDescent="0.3">
      <c r="A1017" s="26" t="s">
        <v>828</v>
      </c>
      <c r="B1017" s="8" t="s">
        <v>1087</v>
      </c>
      <c r="C1017" s="25" t="s">
        <v>1311</v>
      </c>
      <c r="D1017" s="6">
        <v>3007631</v>
      </c>
      <c r="E1017" s="11" t="s">
        <v>1176</v>
      </c>
      <c r="F1017" s="9" t="s">
        <v>1177</v>
      </c>
      <c r="G1017" s="31">
        <v>50.8095</v>
      </c>
      <c r="I1017" s="2">
        <f>VLOOKUP(C1017,[1]Sheet1!$C:$G,5,FALSE)</f>
        <v>48.39</v>
      </c>
      <c r="J1017" s="33">
        <f t="shared" si="16"/>
        <v>4.9999999999999982E-2</v>
      </c>
    </row>
    <row r="1018" spans="1:10" x14ac:dyDescent="0.3">
      <c r="A1018" s="26" t="s">
        <v>828</v>
      </c>
      <c r="B1018" s="8" t="s">
        <v>2328</v>
      </c>
      <c r="C1018" s="8" t="s">
        <v>2257</v>
      </c>
      <c r="D1018" s="6">
        <v>3007713</v>
      </c>
      <c r="E1018" s="9" t="s">
        <v>2303</v>
      </c>
      <c r="F1018" s="9" t="s">
        <v>1125</v>
      </c>
      <c r="G1018" s="31">
        <v>9.5470326000000014</v>
      </c>
      <c r="J1018" s="33"/>
    </row>
    <row r="1019" spans="1:10" x14ac:dyDescent="0.3">
      <c r="A1019" s="26" t="s">
        <v>828</v>
      </c>
      <c r="B1019" s="8" t="s">
        <v>1087</v>
      </c>
      <c r="C1019" s="25" t="s">
        <v>1312</v>
      </c>
      <c r="D1019" s="6">
        <v>3007796</v>
      </c>
      <c r="E1019" s="9" t="s">
        <v>1104</v>
      </c>
      <c r="F1019" s="9" t="s">
        <v>1088</v>
      </c>
      <c r="G1019" s="31">
        <v>22.952999999999999</v>
      </c>
      <c r="I1019" s="2">
        <f>VLOOKUP(C1019,[1]Sheet1!$C:$G,5,FALSE)</f>
        <v>21.86</v>
      </c>
      <c r="J1019" s="33">
        <f t="shared" si="16"/>
        <v>0.05</v>
      </c>
    </row>
    <row r="1020" spans="1:10" x14ac:dyDescent="0.3">
      <c r="A1020" s="26" t="s">
        <v>828</v>
      </c>
      <c r="B1020" s="8" t="s">
        <v>1087</v>
      </c>
      <c r="C1020" s="25" t="s">
        <v>1313</v>
      </c>
      <c r="D1020" s="6">
        <v>3007798</v>
      </c>
      <c r="E1020" s="9" t="s">
        <v>1199</v>
      </c>
      <c r="F1020" s="9" t="s">
        <v>1125</v>
      </c>
      <c r="G1020" s="31">
        <v>24.0975</v>
      </c>
      <c r="I1020" s="2">
        <f>VLOOKUP(C1020,[1]Sheet1!$C:$G,5,FALSE)</f>
        <v>22.95</v>
      </c>
      <c r="J1020" s="33">
        <f t="shared" si="16"/>
        <v>5.0000000000000037E-2</v>
      </c>
    </row>
    <row r="1021" spans="1:10" x14ac:dyDescent="0.3">
      <c r="A1021" s="26" t="s">
        <v>828</v>
      </c>
      <c r="B1021" s="8" t="s">
        <v>1087</v>
      </c>
      <c r="C1021" s="25" t="s">
        <v>1307</v>
      </c>
      <c r="D1021" s="6">
        <v>3007871</v>
      </c>
      <c r="E1021" s="9" t="s">
        <v>1102</v>
      </c>
      <c r="F1021" s="9" t="s">
        <v>1099</v>
      </c>
      <c r="G1021" s="31">
        <v>37.233000000000004</v>
      </c>
      <c r="I1021" s="2">
        <f>VLOOKUP(C1021,[1]Sheet1!$C:$G,5,FALSE)</f>
        <v>35.46</v>
      </c>
      <c r="J1021" s="33">
        <f t="shared" si="16"/>
        <v>5.0000000000000093E-2</v>
      </c>
    </row>
    <row r="1022" spans="1:10" x14ac:dyDescent="0.3">
      <c r="A1022" s="26" t="s">
        <v>828</v>
      </c>
      <c r="B1022" s="8" t="s">
        <v>1087</v>
      </c>
      <c r="C1022" s="25" t="s">
        <v>1314</v>
      </c>
      <c r="D1022" s="6">
        <v>3007913</v>
      </c>
      <c r="E1022" s="9" t="s">
        <v>1196</v>
      </c>
      <c r="F1022" s="9" t="s">
        <v>1088</v>
      </c>
      <c r="G1022" s="31">
        <v>25.326000000000001</v>
      </c>
      <c r="I1022" s="2">
        <f>VLOOKUP(C1022,[1]Sheet1!$C:$G,5,FALSE)</f>
        <v>24.12</v>
      </c>
      <c r="J1022" s="33">
        <f t="shared" si="16"/>
        <v>4.9999999999999975E-2</v>
      </c>
    </row>
    <row r="1023" spans="1:10" x14ac:dyDescent="0.3">
      <c r="A1023" s="26" t="s">
        <v>828</v>
      </c>
      <c r="B1023" s="8" t="s">
        <v>1087</v>
      </c>
      <c r="C1023" s="25" t="s">
        <v>1315</v>
      </c>
      <c r="D1023" s="6">
        <v>3007971</v>
      </c>
      <c r="E1023" s="9" t="s">
        <v>200</v>
      </c>
      <c r="F1023" s="9" t="s">
        <v>1088</v>
      </c>
      <c r="G1023" s="31">
        <v>156.68100000000001</v>
      </c>
      <c r="I1023" s="2">
        <f>VLOOKUP(C1023,[1]Sheet1!$C:$G,5,FALSE)</f>
        <v>149.22</v>
      </c>
      <c r="J1023" s="33">
        <f t="shared" si="16"/>
        <v>5.0000000000000086E-2</v>
      </c>
    </row>
    <row r="1024" spans="1:10" x14ac:dyDescent="0.3">
      <c r="A1024" s="26" t="s">
        <v>828</v>
      </c>
      <c r="B1024" s="8" t="s">
        <v>2328</v>
      </c>
      <c r="C1024" s="8" t="s">
        <v>2258</v>
      </c>
      <c r="D1024" s="6">
        <v>3007988</v>
      </c>
      <c r="E1024" s="9" t="s">
        <v>2304</v>
      </c>
      <c r="F1024" s="9" t="s">
        <v>1125</v>
      </c>
      <c r="G1024" s="31">
        <v>12.896868600000003</v>
      </c>
      <c r="J1024" s="33"/>
    </row>
    <row r="1025" spans="1:10" x14ac:dyDescent="0.3">
      <c r="A1025" s="26" t="s">
        <v>828</v>
      </c>
      <c r="B1025" s="8" t="s">
        <v>1087</v>
      </c>
      <c r="C1025" s="25" t="s">
        <v>1316</v>
      </c>
      <c r="D1025" s="6">
        <v>3008446</v>
      </c>
      <c r="E1025" s="9" t="s">
        <v>1174</v>
      </c>
      <c r="F1025" s="9" t="s">
        <v>1175</v>
      </c>
      <c r="G1025" s="31">
        <v>77.374499999999998</v>
      </c>
      <c r="I1025" s="2">
        <f>VLOOKUP(C1025,[1]Sheet1!$C:$G,5,FALSE)</f>
        <v>73.69</v>
      </c>
      <c r="J1025" s="33">
        <f t="shared" si="16"/>
        <v>0.05</v>
      </c>
    </row>
    <row r="1026" spans="1:10" x14ac:dyDescent="0.3">
      <c r="A1026" s="26" t="s">
        <v>828</v>
      </c>
      <c r="B1026" s="8" t="s">
        <v>1087</v>
      </c>
      <c r="C1026" s="25" t="s">
        <v>1317</v>
      </c>
      <c r="D1026" s="6">
        <v>3008636</v>
      </c>
      <c r="E1026" s="9" t="s">
        <v>1181</v>
      </c>
      <c r="F1026" s="9" t="s">
        <v>1088</v>
      </c>
      <c r="G1026" s="31">
        <v>22.449000000000002</v>
      </c>
      <c r="I1026" s="2">
        <f>VLOOKUP(C1026,[1]Sheet1!$C:$G,5,FALSE)</f>
        <v>21.38</v>
      </c>
      <c r="J1026" s="33">
        <f t="shared" si="16"/>
        <v>5.0000000000000128E-2</v>
      </c>
    </row>
    <row r="1027" spans="1:10" x14ac:dyDescent="0.3">
      <c r="A1027" s="26" t="s">
        <v>828</v>
      </c>
      <c r="B1027" s="8" t="s">
        <v>1087</v>
      </c>
      <c r="C1027" s="25" t="s">
        <v>1318</v>
      </c>
      <c r="D1027" s="6">
        <v>3008637</v>
      </c>
      <c r="E1027" s="9" t="s">
        <v>1136</v>
      </c>
      <c r="F1027" s="9" t="s">
        <v>1137</v>
      </c>
      <c r="G1027" s="31">
        <v>21.861000000000001</v>
      </c>
      <c r="I1027" s="2">
        <f>VLOOKUP(C1027,[1]Sheet1!$C:$G,5,FALSE)</f>
        <v>20.82</v>
      </c>
      <c r="J1027" s="33">
        <f t="shared" si="16"/>
        <v>5.0000000000000017E-2</v>
      </c>
    </row>
    <row r="1028" spans="1:10" x14ac:dyDescent="0.3">
      <c r="A1028" s="26" t="s">
        <v>828</v>
      </c>
      <c r="B1028" s="8" t="s">
        <v>1087</v>
      </c>
      <c r="C1028" s="25" t="s">
        <v>1319</v>
      </c>
      <c r="D1028" s="6">
        <v>3008642</v>
      </c>
      <c r="E1028" s="9" t="s">
        <v>1103</v>
      </c>
      <c r="F1028" s="9" t="s">
        <v>1099</v>
      </c>
      <c r="G1028" s="31">
        <v>24.979500000000002</v>
      </c>
      <c r="I1028" s="2">
        <f>VLOOKUP(C1028,[1]Sheet1!$C:$G,5,FALSE)</f>
        <v>23.79</v>
      </c>
      <c r="J1028" s="33">
        <f t="shared" si="16"/>
        <v>5.0000000000000107E-2</v>
      </c>
    </row>
    <row r="1029" spans="1:10" x14ac:dyDescent="0.3">
      <c r="A1029" s="26" t="s">
        <v>828</v>
      </c>
      <c r="B1029" s="8" t="s">
        <v>1087</v>
      </c>
      <c r="C1029" s="25" t="s">
        <v>1320</v>
      </c>
      <c r="D1029" s="6">
        <v>3008643</v>
      </c>
      <c r="E1029" s="9" t="s">
        <v>1104</v>
      </c>
      <c r="F1029" s="9" t="s">
        <v>1099</v>
      </c>
      <c r="G1029" s="31">
        <v>61.152000000000008</v>
      </c>
      <c r="I1029" s="2">
        <f>VLOOKUP(C1029,[1]Sheet1!$C:$G,5,FALSE)</f>
        <v>58.24</v>
      </c>
      <c r="J1029" s="33">
        <f t="shared" si="16"/>
        <v>5.0000000000000107E-2</v>
      </c>
    </row>
    <row r="1030" spans="1:10" x14ac:dyDescent="0.3">
      <c r="A1030" s="26" t="s">
        <v>828</v>
      </c>
      <c r="B1030" s="8" t="s">
        <v>1087</v>
      </c>
      <c r="C1030" s="25" t="s">
        <v>1321</v>
      </c>
      <c r="D1030" s="6">
        <v>3008644</v>
      </c>
      <c r="E1030" s="9" t="s">
        <v>1105</v>
      </c>
      <c r="F1030" s="9" t="s">
        <v>1106</v>
      </c>
      <c r="G1030" s="31">
        <v>47.481000000000002</v>
      </c>
      <c r="I1030" s="2">
        <f>VLOOKUP(C1030,[1]Sheet1!$C:$G,5,FALSE)</f>
        <v>45.22</v>
      </c>
      <c r="J1030" s="33">
        <f t="shared" si="16"/>
        <v>5.0000000000000065E-2</v>
      </c>
    </row>
    <row r="1031" spans="1:10" x14ac:dyDescent="0.3">
      <c r="A1031" s="26" t="s">
        <v>828</v>
      </c>
      <c r="B1031" s="8" t="s">
        <v>1087</v>
      </c>
      <c r="C1031" s="25" t="s">
        <v>1322</v>
      </c>
      <c r="D1031" s="6">
        <v>3008645</v>
      </c>
      <c r="E1031" s="9" t="s">
        <v>1127</v>
      </c>
      <c r="F1031" s="9" t="s">
        <v>1128</v>
      </c>
      <c r="G1031" s="31">
        <v>54.894000000000005</v>
      </c>
      <c r="I1031" s="2">
        <f>VLOOKUP(C1031,[1]Sheet1!$C:$G,5,FALSE)</f>
        <v>52.28</v>
      </c>
      <c r="J1031" s="33">
        <f t="shared" si="16"/>
        <v>5.0000000000000079E-2</v>
      </c>
    </row>
    <row r="1032" spans="1:10" x14ac:dyDescent="0.3">
      <c r="A1032" s="26" t="s">
        <v>828</v>
      </c>
      <c r="B1032" s="8" t="s">
        <v>1087</v>
      </c>
      <c r="C1032" s="25" t="s">
        <v>1323</v>
      </c>
      <c r="D1032" s="6">
        <v>3008647</v>
      </c>
      <c r="E1032" s="12" t="s">
        <v>1108</v>
      </c>
      <c r="F1032" s="9" t="s">
        <v>1094</v>
      </c>
      <c r="G1032" s="31">
        <v>109.0635</v>
      </c>
      <c r="I1032" s="2">
        <f>VLOOKUP(C1032,[1]Sheet1!$C:$G,5,FALSE)</f>
        <v>103.87</v>
      </c>
      <c r="J1032" s="33">
        <f t="shared" si="16"/>
        <v>0.05</v>
      </c>
    </row>
    <row r="1033" spans="1:10" x14ac:dyDescent="0.3">
      <c r="A1033" s="26" t="s">
        <v>828</v>
      </c>
      <c r="B1033" s="8" t="s">
        <v>1087</v>
      </c>
      <c r="C1033" s="25" t="s">
        <v>1324</v>
      </c>
      <c r="D1033" s="6">
        <v>3008648</v>
      </c>
      <c r="E1033" s="9" t="s">
        <v>1089</v>
      </c>
      <c r="F1033" s="9" t="s">
        <v>1097</v>
      </c>
      <c r="G1033" s="31">
        <v>28.7805</v>
      </c>
      <c r="I1033" s="2">
        <f>VLOOKUP(C1033,[1]Sheet1!$C:$G,5,FALSE)</f>
        <v>27.41</v>
      </c>
      <c r="J1033" s="33">
        <f t="shared" si="16"/>
        <v>4.9999999999999996E-2</v>
      </c>
    </row>
    <row r="1034" spans="1:10" x14ac:dyDescent="0.3">
      <c r="A1034" s="26" t="s">
        <v>828</v>
      </c>
      <c r="B1034" s="8" t="s">
        <v>1087</v>
      </c>
      <c r="C1034" s="25" t="s">
        <v>1325</v>
      </c>
      <c r="D1034" s="6">
        <v>3008652</v>
      </c>
      <c r="E1034" s="9" t="s">
        <v>1098</v>
      </c>
      <c r="F1034" s="9" t="s">
        <v>1099</v>
      </c>
      <c r="G1034" s="31">
        <v>171.024</v>
      </c>
      <c r="I1034" s="2">
        <f>VLOOKUP(C1034,[1]Sheet1!$C:$G,5,FALSE)</f>
        <v>162.88</v>
      </c>
      <c r="J1034" s="33">
        <f t="shared" si="16"/>
        <v>5.0000000000000037E-2</v>
      </c>
    </row>
    <row r="1035" spans="1:10" x14ac:dyDescent="0.3">
      <c r="A1035" s="26" t="s">
        <v>828</v>
      </c>
      <c r="B1035" s="8" t="s">
        <v>1087</v>
      </c>
      <c r="C1035" s="25" t="s">
        <v>1326</v>
      </c>
      <c r="D1035" s="6">
        <v>3008682</v>
      </c>
      <c r="E1035" s="12" t="s">
        <v>1166</v>
      </c>
      <c r="F1035" s="12" t="s">
        <v>1154</v>
      </c>
      <c r="G1035" s="31">
        <v>23.751000000000001</v>
      </c>
      <c r="I1035" s="2">
        <f>VLOOKUP(C1035,[1]Sheet1!$C:$G,5,FALSE)</f>
        <v>22.62</v>
      </c>
      <c r="J1035" s="33">
        <f t="shared" si="16"/>
        <v>5.000000000000001E-2</v>
      </c>
    </row>
    <row r="1036" spans="1:10" x14ac:dyDescent="0.3">
      <c r="A1036" s="26" t="s">
        <v>828</v>
      </c>
      <c r="B1036" s="8" t="s">
        <v>1087</v>
      </c>
      <c r="C1036" s="25" t="s">
        <v>1327</v>
      </c>
      <c r="D1036" s="6">
        <v>3008724</v>
      </c>
      <c r="E1036" s="9" t="s">
        <v>1110</v>
      </c>
      <c r="F1036" s="9" t="s">
        <v>1099</v>
      </c>
      <c r="G1036" s="31">
        <v>78.109499999999997</v>
      </c>
      <c r="I1036" s="2">
        <f>VLOOKUP(C1036,[1]Sheet1!$C:$G,5,FALSE)</f>
        <v>74.39</v>
      </c>
      <c r="J1036" s="33">
        <f t="shared" si="16"/>
        <v>4.9999999999999954E-2</v>
      </c>
    </row>
    <row r="1037" spans="1:10" x14ac:dyDescent="0.3">
      <c r="A1037" s="26" t="s">
        <v>828</v>
      </c>
      <c r="B1037" s="8" t="s">
        <v>1087</v>
      </c>
      <c r="C1037" s="25" t="s">
        <v>1328</v>
      </c>
      <c r="D1037" s="6">
        <v>3008768</v>
      </c>
      <c r="E1037" s="9" t="s">
        <v>1111</v>
      </c>
      <c r="F1037" s="9" t="s">
        <v>1112</v>
      </c>
      <c r="G1037" s="31">
        <v>52.6995</v>
      </c>
      <c r="I1037" s="2">
        <f>VLOOKUP(C1037,[1]Sheet1!$C:$G,5,FALSE)</f>
        <v>50.19</v>
      </c>
      <c r="J1037" s="33">
        <f t="shared" si="16"/>
        <v>5.0000000000000058E-2</v>
      </c>
    </row>
    <row r="1038" spans="1:10" x14ac:dyDescent="0.3">
      <c r="A1038" s="26" t="s">
        <v>828</v>
      </c>
      <c r="B1038" s="8" t="s">
        <v>1087</v>
      </c>
      <c r="C1038" s="25" t="s">
        <v>1329</v>
      </c>
      <c r="D1038" s="6">
        <v>3008769</v>
      </c>
      <c r="E1038" s="9" t="s">
        <v>1113</v>
      </c>
      <c r="F1038" s="9" t="s">
        <v>1114</v>
      </c>
      <c r="G1038" s="31">
        <v>59.682000000000009</v>
      </c>
      <c r="I1038" s="2">
        <f>VLOOKUP(C1038,[1]Sheet1!$C:$G,5,FALSE)</f>
        <v>56.84</v>
      </c>
      <c r="J1038" s="33">
        <f t="shared" si="16"/>
        <v>5.00000000000001E-2</v>
      </c>
    </row>
    <row r="1039" spans="1:10" x14ac:dyDescent="0.3">
      <c r="A1039" s="26" t="s">
        <v>828</v>
      </c>
      <c r="B1039" s="8" t="s">
        <v>1087</v>
      </c>
      <c r="C1039" s="25" t="s">
        <v>1330</v>
      </c>
      <c r="D1039" s="6">
        <v>3008794</v>
      </c>
      <c r="E1039" s="9" t="s">
        <v>1115</v>
      </c>
      <c r="F1039" s="9" t="s">
        <v>1099</v>
      </c>
      <c r="G1039" s="31">
        <v>15.8445</v>
      </c>
      <c r="I1039" s="2">
        <f>VLOOKUP(C1039,[1]Sheet1!$C:$G,5,FALSE)</f>
        <v>15.09</v>
      </c>
      <c r="J1039" s="33">
        <f t="shared" si="16"/>
        <v>5.000000000000001E-2</v>
      </c>
    </row>
    <row r="1040" spans="1:10" x14ac:dyDescent="0.3">
      <c r="A1040" s="26" t="s">
        <v>828</v>
      </c>
      <c r="B1040" s="8" t="s">
        <v>1087</v>
      </c>
      <c r="C1040" s="25" t="s">
        <v>1331</v>
      </c>
      <c r="D1040" s="6">
        <v>3008839</v>
      </c>
      <c r="E1040" s="12" t="s">
        <v>1148</v>
      </c>
      <c r="F1040" s="9" t="s">
        <v>1097</v>
      </c>
      <c r="G1040" s="31">
        <v>105.34650000000001</v>
      </c>
      <c r="I1040" s="2">
        <f>VLOOKUP(C1040,[1]Sheet1!$C:$G,5,FALSE)</f>
        <v>100.33</v>
      </c>
      <c r="J1040" s="33">
        <f t="shared" si="16"/>
        <v>5.0000000000000079E-2</v>
      </c>
    </row>
    <row r="1041" spans="1:10" x14ac:dyDescent="0.3">
      <c r="A1041" s="26" t="s">
        <v>828</v>
      </c>
      <c r="B1041" s="8" t="s">
        <v>1087</v>
      </c>
      <c r="C1041" s="25" t="s">
        <v>1332</v>
      </c>
      <c r="D1041" s="6">
        <v>3008851</v>
      </c>
      <c r="E1041" s="9" t="s">
        <v>1123</v>
      </c>
      <c r="F1041" s="9" t="s">
        <v>1099</v>
      </c>
      <c r="G1041" s="31">
        <v>10.048500000000001</v>
      </c>
      <c r="I1041" s="2">
        <f>VLOOKUP(C1041,[1]Sheet1!$C:$G,5,FALSE)</f>
        <v>9.57</v>
      </c>
      <c r="J1041" s="33">
        <f t="shared" si="16"/>
        <v>5.0000000000000037E-2</v>
      </c>
    </row>
    <row r="1042" spans="1:10" x14ac:dyDescent="0.3">
      <c r="A1042" s="26" t="s">
        <v>828</v>
      </c>
      <c r="B1042" s="8" t="s">
        <v>1087</v>
      </c>
      <c r="C1042" s="25" t="s">
        <v>1333</v>
      </c>
      <c r="D1042" s="6">
        <v>3008859</v>
      </c>
      <c r="E1042" s="9" t="s">
        <v>1117</v>
      </c>
      <c r="F1042" s="9" t="s">
        <v>1118</v>
      </c>
      <c r="G1042" s="31">
        <v>86.037000000000006</v>
      </c>
      <c r="I1042" s="2">
        <f>VLOOKUP(C1042,[1]Sheet1!$C:$G,5,FALSE)</f>
        <v>81.94</v>
      </c>
      <c r="J1042" s="33">
        <f t="shared" si="16"/>
        <v>5.0000000000000107E-2</v>
      </c>
    </row>
    <row r="1043" spans="1:10" x14ac:dyDescent="0.3">
      <c r="A1043" s="26" t="s">
        <v>828</v>
      </c>
      <c r="B1043" s="8" t="s">
        <v>1087</v>
      </c>
      <c r="C1043" s="25" t="s">
        <v>1334</v>
      </c>
      <c r="D1043" s="6">
        <v>3008860</v>
      </c>
      <c r="E1043" s="9" t="s">
        <v>1119</v>
      </c>
      <c r="F1043" s="9" t="s">
        <v>1118</v>
      </c>
      <c r="G1043" s="31">
        <v>28.854000000000003</v>
      </c>
      <c r="I1043" s="2">
        <f>VLOOKUP(C1043,[1]Sheet1!$C:$G,5,FALSE)</f>
        <v>27.48</v>
      </c>
      <c r="J1043" s="33">
        <f t="shared" si="16"/>
        <v>5.0000000000000086E-2</v>
      </c>
    </row>
    <row r="1044" spans="1:10" x14ac:dyDescent="0.3">
      <c r="A1044" s="26" t="s">
        <v>828</v>
      </c>
      <c r="B1044" s="8" t="s">
        <v>1087</v>
      </c>
      <c r="C1044" s="25" t="s">
        <v>1335</v>
      </c>
      <c r="D1044" s="6">
        <v>3008861</v>
      </c>
      <c r="E1044" s="9" t="s">
        <v>1120</v>
      </c>
      <c r="F1044" s="9" t="s">
        <v>1118</v>
      </c>
      <c r="G1044" s="31">
        <v>20.286000000000001</v>
      </c>
      <c r="I1044" s="2">
        <f>VLOOKUP(C1044,[1]Sheet1!$C:$G,5,FALSE)</f>
        <v>19.32</v>
      </c>
      <c r="J1044" s="33">
        <f t="shared" si="16"/>
        <v>5.0000000000000058E-2</v>
      </c>
    </row>
    <row r="1045" spans="1:10" x14ac:dyDescent="0.3">
      <c r="A1045" s="26" t="s">
        <v>828</v>
      </c>
      <c r="B1045" s="8" t="s">
        <v>1087</v>
      </c>
      <c r="C1045" s="25" t="s">
        <v>1336</v>
      </c>
      <c r="D1045" s="6">
        <v>3008875</v>
      </c>
      <c r="E1045" s="9" t="s">
        <v>1121</v>
      </c>
      <c r="F1045" s="9" t="s">
        <v>1118</v>
      </c>
      <c r="G1045" s="31">
        <v>11.193000000000001</v>
      </c>
      <c r="I1045" s="2">
        <f>VLOOKUP(C1045,[1]Sheet1!$C:$G,5,FALSE)</f>
        <v>10.66</v>
      </c>
      <c r="J1045" s="33">
        <f t="shared" si="16"/>
        <v>5.0000000000000114E-2</v>
      </c>
    </row>
    <row r="1046" spans="1:10" x14ac:dyDescent="0.3">
      <c r="A1046" s="26" t="s">
        <v>828</v>
      </c>
      <c r="B1046" s="8" t="s">
        <v>1087</v>
      </c>
      <c r="C1046" s="25" t="s">
        <v>1337</v>
      </c>
      <c r="D1046" s="6">
        <v>3008876</v>
      </c>
      <c r="E1046" s="12" t="s">
        <v>1122</v>
      </c>
      <c r="F1046" s="9" t="s">
        <v>1097</v>
      </c>
      <c r="G1046" s="31">
        <v>20.433000000000003</v>
      </c>
      <c r="I1046" s="2">
        <f>VLOOKUP(C1046,[1]Sheet1!$C:$G,5,FALSE)</f>
        <v>19.46</v>
      </c>
      <c r="J1046" s="33">
        <f t="shared" si="16"/>
        <v>5.0000000000000128E-2</v>
      </c>
    </row>
    <row r="1047" spans="1:10" x14ac:dyDescent="0.3">
      <c r="A1047" s="26" t="s">
        <v>828</v>
      </c>
      <c r="B1047" s="8" t="s">
        <v>1087</v>
      </c>
      <c r="C1047" s="25" t="s">
        <v>1338</v>
      </c>
      <c r="D1047" s="6">
        <v>3008878</v>
      </c>
      <c r="E1047" s="12" t="s">
        <v>1126</v>
      </c>
      <c r="F1047" s="9" t="s">
        <v>1097</v>
      </c>
      <c r="G1047" s="31">
        <v>12.841500000000002</v>
      </c>
      <c r="I1047" s="2">
        <f>VLOOKUP(C1047,[1]Sheet1!$C:$G,5,FALSE)</f>
        <v>12.23</v>
      </c>
      <c r="J1047" s="33">
        <f t="shared" si="16"/>
        <v>5.00000000000001E-2</v>
      </c>
    </row>
    <row r="1048" spans="1:10" x14ac:dyDescent="0.3">
      <c r="A1048" s="26" t="s">
        <v>828</v>
      </c>
      <c r="B1048" s="8" t="s">
        <v>1087</v>
      </c>
      <c r="C1048" s="25" t="s">
        <v>1352</v>
      </c>
      <c r="D1048" s="6">
        <v>3008879</v>
      </c>
      <c r="E1048" s="9" t="s">
        <v>1353</v>
      </c>
      <c r="F1048" s="9" t="s">
        <v>1099</v>
      </c>
      <c r="G1048" s="31">
        <v>53.476500000000001</v>
      </c>
      <c r="I1048" s="2">
        <f>VLOOKUP(C1048,[1]Sheet1!$C:$G,5,FALSE)</f>
        <v>50.93</v>
      </c>
      <c r="J1048" s="33">
        <f t="shared" si="16"/>
        <v>5.0000000000000037E-2</v>
      </c>
    </row>
    <row r="1049" spans="1:10" x14ac:dyDescent="0.3">
      <c r="A1049" s="26" t="s">
        <v>828</v>
      </c>
      <c r="B1049" s="8" t="s">
        <v>1087</v>
      </c>
      <c r="C1049" s="25" t="s">
        <v>1339</v>
      </c>
      <c r="D1049" s="6">
        <v>3008957</v>
      </c>
      <c r="E1049" s="9" t="s">
        <v>1147</v>
      </c>
      <c r="F1049" s="9" t="s">
        <v>1137</v>
      </c>
      <c r="G1049" s="31">
        <v>42.178500000000007</v>
      </c>
      <c r="I1049" s="2">
        <f>VLOOKUP(C1049,[1]Sheet1!$C:$G,5,FALSE)</f>
        <v>40.17</v>
      </c>
      <c r="J1049" s="33">
        <f t="shared" si="16"/>
        <v>5.0000000000000121E-2</v>
      </c>
    </row>
    <row r="1050" spans="1:10" x14ac:dyDescent="0.3">
      <c r="A1050" s="26" t="s">
        <v>828</v>
      </c>
      <c r="B1050" s="8" t="s">
        <v>1087</v>
      </c>
      <c r="C1050" s="25" t="s">
        <v>1340</v>
      </c>
      <c r="D1050" s="6">
        <v>3008961</v>
      </c>
      <c r="E1050" s="9" t="s">
        <v>1143</v>
      </c>
      <c r="F1050" s="9" t="s">
        <v>1137</v>
      </c>
      <c r="G1050" s="31">
        <v>18.448500000000003</v>
      </c>
      <c r="I1050" s="2">
        <f>VLOOKUP(C1050,[1]Sheet1!$C:$G,5,FALSE)</f>
        <v>17.57</v>
      </c>
      <c r="J1050" s="33">
        <f t="shared" si="16"/>
        <v>5.0000000000000142E-2</v>
      </c>
    </row>
    <row r="1051" spans="1:10" x14ac:dyDescent="0.3">
      <c r="A1051" s="26" t="s">
        <v>828</v>
      </c>
      <c r="B1051" s="8" t="s">
        <v>1087</v>
      </c>
      <c r="C1051" s="25" t="s">
        <v>1341</v>
      </c>
      <c r="D1051" s="6">
        <v>3008962</v>
      </c>
      <c r="E1051" s="9" t="s">
        <v>1150</v>
      </c>
      <c r="F1051" s="9" t="s">
        <v>1137</v>
      </c>
      <c r="G1051" s="31">
        <v>123.09150000000001</v>
      </c>
      <c r="I1051" s="2">
        <f>VLOOKUP(C1051,[1]Sheet1!$C:$G,5,FALSE)</f>
        <v>117.23</v>
      </c>
      <c r="J1051" s="33">
        <f t="shared" si="16"/>
        <v>5.0000000000000051E-2</v>
      </c>
    </row>
    <row r="1052" spans="1:10" x14ac:dyDescent="0.3">
      <c r="A1052" s="26" t="s">
        <v>828</v>
      </c>
      <c r="B1052" s="8" t="s">
        <v>1087</v>
      </c>
      <c r="C1052" s="25" t="s">
        <v>1342</v>
      </c>
      <c r="D1052" s="6">
        <v>3008963</v>
      </c>
      <c r="E1052" s="9" t="s">
        <v>1140</v>
      </c>
      <c r="F1052" s="9" t="s">
        <v>1137</v>
      </c>
      <c r="G1052" s="31">
        <v>13.461</v>
      </c>
      <c r="I1052" s="2">
        <f>VLOOKUP(C1052,[1]Sheet1!$C:$G,5,FALSE)</f>
        <v>12.82</v>
      </c>
      <c r="J1052" s="33">
        <f t="shared" si="16"/>
        <v>0.05</v>
      </c>
    </row>
    <row r="1053" spans="1:10" x14ac:dyDescent="0.3">
      <c r="A1053" s="26" t="s">
        <v>828</v>
      </c>
      <c r="B1053" s="8" t="s">
        <v>1087</v>
      </c>
      <c r="C1053" s="25" t="s">
        <v>1343</v>
      </c>
      <c r="D1053" s="6">
        <v>3008964</v>
      </c>
      <c r="E1053" s="9" t="s">
        <v>1142</v>
      </c>
      <c r="F1053" s="9" t="s">
        <v>1137</v>
      </c>
      <c r="G1053" s="31">
        <v>250.47750000000002</v>
      </c>
      <c r="I1053" s="2">
        <f>VLOOKUP(C1053,[1]Sheet1!$C:$G,5,FALSE)</f>
        <v>238.55</v>
      </c>
      <c r="J1053" s="33">
        <f t="shared" si="16"/>
        <v>5.0000000000000037E-2</v>
      </c>
    </row>
    <row r="1054" spans="1:10" x14ac:dyDescent="0.3">
      <c r="A1054" s="26" t="s">
        <v>828</v>
      </c>
      <c r="B1054" s="8" t="s">
        <v>1087</v>
      </c>
      <c r="C1054" s="25" t="s">
        <v>1344</v>
      </c>
      <c r="D1054" s="6">
        <v>3009046</v>
      </c>
      <c r="E1054" s="12" t="s">
        <v>1202</v>
      </c>
      <c r="F1054" s="9" t="s">
        <v>1203</v>
      </c>
      <c r="G1054" s="31">
        <v>4.9919310000000001</v>
      </c>
      <c r="I1054" s="2">
        <f>VLOOKUP(C1054,[1]Sheet1!$C:$G,5,FALSE)</f>
        <v>4.74</v>
      </c>
      <c r="J1054" s="33">
        <f t="shared" si="16"/>
        <v>5.3149999999999975E-2</v>
      </c>
    </row>
    <row r="1055" spans="1:10" x14ac:dyDescent="0.3">
      <c r="A1055" s="26" t="s">
        <v>828</v>
      </c>
      <c r="B1055" s="8" t="s">
        <v>2328</v>
      </c>
      <c r="C1055" s="8" t="s">
        <v>2259</v>
      </c>
      <c r="D1055" s="6">
        <v>3009068</v>
      </c>
      <c r="E1055" s="9" t="s">
        <v>2305</v>
      </c>
      <c r="F1055" s="9" t="s">
        <v>1125</v>
      </c>
      <c r="G1055" s="31">
        <v>2.0338289999999999</v>
      </c>
      <c r="J1055" s="33"/>
    </row>
    <row r="1056" spans="1:10" x14ac:dyDescent="0.3">
      <c r="A1056" s="26" t="s">
        <v>828</v>
      </c>
      <c r="B1056" s="8" t="s">
        <v>2328</v>
      </c>
      <c r="C1056" s="8" t="s">
        <v>2260</v>
      </c>
      <c r="D1056" s="6">
        <v>3012015</v>
      </c>
      <c r="E1056" s="9" t="s">
        <v>2306</v>
      </c>
      <c r="F1056" s="9" t="s">
        <v>1125</v>
      </c>
      <c r="G1056" s="31">
        <v>14.097226500000001</v>
      </c>
      <c r="J1056" s="33"/>
    </row>
    <row r="1057" spans="1:10" x14ac:dyDescent="0.3">
      <c r="A1057" s="26" t="s">
        <v>828</v>
      </c>
      <c r="B1057" s="8" t="s">
        <v>2328</v>
      </c>
      <c r="C1057" s="8" t="s">
        <v>2261</v>
      </c>
      <c r="D1057" s="6">
        <v>3012091</v>
      </c>
      <c r="E1057" s="9" t="s">
        <v>2307</v>
      </c>
      <c r="F1057" s="9" t="s">
        <v>1125</v>
      </c>
      <c r="G1057" s="31">
        <v>69.118282800000003</v>
      </c>
      <c r="J1057" s="33"/>
    </row>
    <row r="1058" spans="1:10" x14ac:dyDescent="0.3">
      <c r="A1058" s="26" t="s">
        <v>828</v>
      </c>
      <c r="B1058" s="8" t="s">
        <v>2328</v>
      </c>
      <c r="C1058" s="8" t="s">
        <v>2262</v>
      </c>
      <c r="D1058" s="6">
        <v>3012129</v>
      </c>
      <c r="E1058" s="9" t="s">
        <v>2308</v>
      </c>
      <c r="F1058" s="9" t="s">
        <v>1125</v>
      </c>
      <c r="G1058" s="31">
        <v>12.406356900000002</v>
      </c>
      <c r="J1058" s="33"/>
    </row>
    <row r="1059" spans="1:10" x14ac:dyDescent="0.3">
      <c r="A1059" s="26" t="s">
        <v>828</v>
      </c>
      <c r="B1059" s="8" t="s">
        <v>2328</v>
      </c>
      <c r="C1059" s="8" t="s">
        <v>2263</v>
      </c>
      <c r="D1059" s="6">
        <v>3012173</v>
      </c>
      <c r="E1059" s="9" t="s">
        <v>2309</v>
      </c>
      <c r="F1059" s="9" t="s">
        <v>1125</v>
      </c>
      <c r="G1059" s="31">
        <v>16.717276800000004</v>
      </c>
      <c r="J1059" s="33"/>
    </row>
    <row r="1060" spans="1:10" x14ac:dyDescent="0.3">
      <c r="A1060" s="26" t="s">
        <v>828</v>
      </c>
      <c r="B1060" s="8" t="s">
        <v>2328</v>
      </c>
      <c r="C1060" s="8" t="s">
        <v>2264</v>
      </c>
      <c r="D1060" s="6">
        <v>3012174</v>
      </c>
      <c r="E1060" s="9" t="s">
        <v>2310</v>
      </c>
      <c r="F1060" s="9" t="s">
        <v>1125</v>
      </c>
      <c r="G1060" s="31">
        <v>16.856853300000004</v>
      </c>
      <c r="J1060" s="33"/>
    </row>
    <row r="1061" spans="1:10" x14ac:dyDescent="0.3">
      <c r="A1061" s="26" t="s">
        <v>828</v>
      </c>
      <c r="B1061" s="8" t="s">
        <v>2328</v>
      </c>
      <c r="C1061" s="8" t="s">
        <v>2265</v>
      </c>
      <c r="D1061" s="6">
        <v>3012175</v>
      </c>
      <c r="E1061" s="9" t="s">
        <v>2299</v>
      </c>
      <c r="F1061" s="9" t="s">
        <v>1125</v>
      </c>
      <c r="G1061" s="31">
        <v>18.152920800000004</v>
      </c>
      <c r="J1061" s="33"/>
    </row>
    <row r="1062" spans="1:10" x14ac:dyDescent="0.3">
      <c r="A1062" s="26" t="s">
        <v>828</v>
      </c>
      <c r="B1062" s="8" t="s">
        <v>2328</v>
      </c>
      <c r="C1062" s="8" t="s">
        <v>2266</v>
      </c>
      <c r="D1062" s="6">
        <v>3012393</v>
      </c>
      <c r="E1062" s="9" t="s">
        <v>2311</v>
      </c>
      <c r="F1062" s="9" t="s">
        <v>1125</v>
      </c>
      <c r="G1062" s="31">
        <v>37.382574599999998</v>
      </c>
      <c r="J1062" s="33"/>
    </row>
    <row r="1063" spans="1:10" x14ac:dyDescent="0.3">
      <c r="A1063" s="26" t="s">
        <v>828</v>
      </c>
      <c r="B1063" s="8" t="s">
        <v>1087</v>
      </c>
      <c r="C1063" s="25" t="s">
        <v>1930</v>
      </c>
      <c r="D1063" s="6">
        <v>3012868</v>
      </c>
      <c r="E1063" s="9" t="s">
        <v>1932</v>
      </c>
      <c r="F1063" s="9" t="s">
        <v>1934</v>
      </c>
      <c r="G1063" s="31">
        <v>50.19</v>
      </c>
      <c r="I1063" s="2">
        <f>VLOOKUP(C1063,[1]Sheet1!$C:$G,5,FALSE)</f>
        <v>47.8</v>
      </c>
      <c r="J1063" s="33">
        <f t="shared" ref="J1063:J1078" si="17">(G1063-I1063)/I1063</f>
        <v>5.0000000000000017E-2</v>
      </c>
    </row>
    <row r="1064" spans="1:10" x14ac:dyDescent="0.3">
      <c r="A1064" s="26" t="s">
        <v>828</v>
      </c>
      <c r="B1064" s="8" t="s">
        <v>1087</v>
      </c>
      <c r="C1064" s="25" t="s">
        <v>1931</v>
      </c>
      <c r="D1064" s="6">
        <v>5056003779448</v>
      </c>
      <c r="E1064" s="9" t="s">
        <v>1933</v>
      </c>
      <c r="F1064" s="9" t="s">
        <v>1934</v>
      </c>
      <c r="G1064" s="31">
        <v>10.048500000000001</v>
      </c>
      <c r="I1064" s="2">
        <f>VLOOKUP(C1064,[1]Sheet1!$C:$G,5,FALSE)</f>
        <v>9.57</v>
      </c>
      <c r="J1064" s="33">
        <f t="shared" si="17"/>
        <v>5.0000000000000037E-2</v>
      </c>
    </row>
    <row r="1065" spans="1:10" x14ac:dyDescent="0.3">
      <c r="A1065" s="26" t="s">
        <v>828</v>
      </c>
      <c r="B1065" s="8" t="s">
        <v>2328</v>
      </c>
      <c r="C1065" s="8" t="s">
        <v>2267</v>
      </c>
      <c r="D1065" s="6">
        <v>3013071</v>
      </c>
      <c r="E1065" s="9" t="s">
        <v>2312</v>
      </c>
      <c r="F1065" s="9" t="s">
        <v>1125</v>
      </c>
      <c r="G1065" s="31">
        <v>100.16009640000001</v>
      </c>
      <c r="J1065" s="33"/>
    </row>
    <row r="1066" spans="1:10" x14ac:dyDescent="0.3">
      <c r="A1066" s="26" t="s">
        <v>828</v>
      </c>
      <c r="B1066" s="8" t="s">
        <v>2328</v>
      </c>
      <c r="C1066" s="8" t="s">
        <v>2268</v>
      </c>
      <c r="D1066" s="6">
        <v>3013073</v>
      </c>
      <c r="E1066" s="9" t="s">
        <v>2313</v>
      </c>
      <c r="F1066" s="9" t="s">
        <v>1125</v>
      </c>
      <c r="G1066" s="31">
        <v>100.76625720000001</v>
      </c>
      <c r="J1066" s="33"/>
    </row>
    <row r="1067" spans="1:10" x14ac:dyDescent="0.3">
      <c r="A1067" s="26" t="s">
        <v>828</v>
      </c>
      <c r="B1067" s="8" t="s">
        <v>2328</v>
      </c>
      <c r="C1067" s="8" t="s">
        <v>2269</v>
      </c>
      <c r="D1067" s="6">
        <v>3013708</v>
      </c>
      <c r="E1067" s="9" t="s">
        <v>2314</v>
      </c>
      <c r="F1067" s="9" t="s">
        <v>1125</v>
      </c>
      <c r="G1067" s="31">
        <v>28.393848000000006</v>
      </c>
      <c r="J1067" s="33"/>
    </row>
    <row r="1068" spans="1:10" x14ac:dyDescent="0.3">
      <c r="A1068" s="26" t="s">
        <v>828</v>
      </c>
      <c r="B1068" s="8" t="s">
        <v>2328</v>
      </c>
      <c r="C1068" s="8" t="s">
        <v>2270</v>
      </c>
      <c r="D1068" s="6">
        <v>3013992</v>
      </c>
      <c r="E1068" s="9" t="s">
        <v>2315</v>
      </c>
      <c r="F1068" s="9" t="s">
        <v>1125</v>
      </c>
      <c r="G1068" s="31">
        <v>140.92042230000001</v>
      </c>
      <c r="J1068" s="33"/>
    </row>
    <row r="1069" spans="1:10" x14ac:dyDescent="0.3">
      <c r="A1069" s="26" t="s">
        <v>828</v>
      </c>
      <c r="B1069" s="8" t="s">
        <v>2328</v>
      </c>
      <c r="C1069" s="8" t="s">
        <v>2271</v>
      </c>
      <c r="D1069" s="6">
        <v>3014037</v>
      </c>
      <c r="E1069" s="9" t="s">
        <v>2298</v>
      </c>
      <c r="F1069" s="9" t="s">
        <v>1125</v>
      </c>
      <c r="G1069" s="31">
        <v>14.966588700000001</v>
      </c>
      <c r="J1069" s="33"/>
    </row>
    <row r="1070" spans="1:10" x14ac:dyDescent="0.3">
      <c r="A1070" s="26" t="s">
        <v>828</v>
      </c>
      <c r="B1070" s="8" t="s">
        <v>1087</v>
      </c>
      <c r="C1070" s="25" t="s">
        <v>1345</v>
      </c>
      <c r="D1070" s="6">
        <v>3020121</v>
      </c>
      <c r="E1070" s="9" t="s">
        <v>1141</v>
      </c>
      <c r="F1070" s="9" t="s">
        <v>1137</v>
      </c>
      <c r="G1070" s="31">
        <v>33.894000000000005</v>
      </c>
      <c r="I1070" s="2">
        <f>VLOOKUP(C1070,[1]Sheet1!$C:$G,5,FALSE)</f>
        <v>32.28</v>
      </c>
      <c r="J1070" s="33">
        <f t="shared" si="17"/>
        <v>5.0000000000000135E-2</v>
      </c>
    </row>
    <row r="1071" spans="1:10" x14ac:dyDescent="0.3">
      <c r="A1071" s="26" t="s">
        <v>828</v>
      </c>
      <c r="B1071" s="8" t="s">
        <v>1087</v>
      </c>
      <c r="C1071" s="25" t="s">
        <v>1346</v>
      </c>
      <c r="D1071" s="6">
        <v>3020281</v>
      </c>
      <c r="E1071" s="12" t="s">
        <v>1169</v>
      </c>
      <c r="F1071" s="12" t="s">
        <v>1154</v>
      </c>
      <c r="G1071" s="31">
        <v>36.183</v>
      </c>
      <c r="I1071" s="2">
        <f>VLOOKUP(C1071,[1]Sheet1!$C:$G,5,FALSE)</f>
        <v>34.46</v>
      </c>
      <c r="J1071" s="33">
        <f t="shared" si="17"/>
        <v>4.9999999999999968E-2</v>
      </c>
    </row>
    <row r="1072" spans="1:10" x14ac:dyDescent="0.3">
      <c r="A1072" s="26" t="s">
        <v>828</v>
      </c>
      <c r="B1072" s="8" t="s">
        <v>1087</v>
      </c>
      <c r="C1072" s="25" t="s">
        <v>1347</v>
      </c>
      <c r="D1072" s="6">
        <v>3020306</v>
      </c>
      <c r="E1072" s="12" t="s">
        <v>1168</v>
      </c>
      <c r="F1072" s="12" t="s">
        <v>1154</v>
      </c>
      <c r="G1072" s="31">
        <v>39.091499999999996</v>
      </c>
      <c r="I1072" s="2">
        <f>VLOOKUP(C1072,[1]Sheet1!$C:$G,5,FALSE)</f>
        <v>37.229999999999997</v>
      </c>
      <c r="J1072" s="33">
        <f t="shared" si="17"/>
        <v>4.9999999999999989E-2</v>
      </c>
    </row>
    <row r="1073" spans="1:10" x14ac:dyDescent="0.3">
      <c r="A1073" s="26" t="s">
        <v>828</v>
      </c>
      <c r="B1073" s="8" t="s">
        <v>1087</v>
      </c>
      <c r="C1073" s="25" t="s">
        <v>1348</v>
      </c>
      <c r="D1073" s="6">
        <v>3020436</v>
      </c>
      <c r="E1073" s="9" t="s">
        <v>1109</v>
      </c>
      <c r="F1073" s="9" t="s">
        <v>1099</v>
      </c>
      <c r="G1073" s="31">
        <v>11.455500000000001</v>
      </c>
      <c r="I1073" s="2">
        <f>VLOOKUP(C1073,[1]Sheet1!$C:$G,5,FALSE)</f>
        <v>10.91</v>
      </c>
      <c r="J1073" s="33">
        <f t="shared" si="17"/>
        <v>5.0000000000000051E-2</v>
      </c>
    </row>
    <row r="1074" spans="1:10" x14ac:dyDescent="0.3">
      <c r="A1074" s="26" t="s">
        <v>828</v>
      </c>
      <c r="B1074" s="8" t="s">
        <v>1087</v>
      </c>
      <c r="C1074" s="25" t="s">
        <v>1349</v>
      </c>
      <c r="D1074" s="6">
        <v>3020437</v>
      </c>
      <c r="E1074" s="9" t="s">
        <v>1096</v>
      </c>
      <c r="F1074" s="9" t="s">
        <v>1088</v>
      </c>
      <c r="G1074" s="31">
        <v>55.061999999999998</v>
      </c>
      <c r="I1074" s="2">
        <f>VLOOKUP(C1074,[1]Sheet1!$C:$G,5,FALSE)</f>
        <v>52.44</v>
      </c>
      <c r="J1074" s="33">
        <f t="shared" si="17"/>
        <v>0.05</v>
      </c>
    </row>
    <row r="1075" spans="1:10" x14ac:dyDescent="0.3">
      <c r="A1075" s="26" t="s">
        <v>828</v>
      </c>
      <c r="B1075" s="8" t="s">
        <v>1087</v>
      </c>
      <c r="C1075" s="25" t="s">
        <v>1350</v>
      </c>
      <c r="D1075" s="6">
        <v>3020444</v>
      </c>
      <c r="E1075" s="9" t="s">
        <v>1198</v>
      </c>
      <c r="F1075" s="9" t="s">
        <v>1088</v>
      </c>
      <c r="G1075" s="31">
        <v>85.869</v>
      </c>
      <c r="I1075" s="2">
        <f>VLOOKUP(C1075,[1]Sheet1!$C:$G,5,FALSE)</f>
        <v>81.78</v>
      </c>
      <c r="J1075" s="33">
        <f t="shared" si="17"/>
        <v>4.9999999999999982E-2</v>
      </c>
    </row>
    <row r="1076" spans="1:10" x14ac:dyDescent="0.3">
      <c r="A1076" s="26" t="s">
        <v>828</v>
      </c>
      <c r="B1076" s="8" t="s">
        <v>1087</v>
      </c>
      <c r="C1076" s="25" t="s">
        <v>1351</v>
      </c>
      <c r="D1076" s="6">
        <v>3062774</v>
      </c>
      <c r="E1076" s="9" t="s">
        <v>1129</v>
      </c>
      <c r="F1076" s="9" t="s">
        <v>1099</v>
      </c>
      <c r="G1076" s="31">
        <v>22.134</v>
      </c>
      <c r="I1076" s="2">
        <f>VLOOKUP(C1076,[1]Sheet1!$C:$G,5,FALSE)</f>
        <v>21.08</v>
      </c>
      <c r="J1076" s="33">
        <f t="shared" si="17"/>
        <v>5.00000000000001E-2</v>
      </c>
    </row>
    <row r="1077" spans="1:10" x14ac:dyDescent="0.3">
      <c r="A1077" s="26" t="s">
        <v>828</v>
      </c>
      <c r="B1077" s="8" t="s">
        <v>2328</v>
      </c>
      <c r="C1077" s="8" t="s">
        <v>2272</v>
      </c>
      <c r="D1077" s="6">
        <v>3111108</v>
      </c>
      <c r="E1077" s="9" t="s">
        <v>2316</v>
      </c>
      <c r="F1077" s="9" t="s">
        <v>1125</v>
      </c>
      <c r="G1077" s="31">
        <v>5.3517618000000011</v>
      </c>
      <c r="J1077" s="33"/>
    </row>
    <row r="1078" spans="1:10" x14ac:dyDescent="0.3">
      <c r="A1078" s="26" t="s">
        <v>828</v>
      </c>
      <c r="B1078" s="8" t="s">
        <v>1087</v>
      </c>
      <c r="C1078" s="8" t="s">
        <v>2070</v>
      </c>
      <c r="D1078" s="6">
        <v>5056003735017</v>
      </c>
      <c r="E1078" s="11" t="s">
        <v>2073</v>
      </c>
      <c r="F1078" s="9" t="s">
        <v>2074</v>
      </c>
      <c r="G1078" s="31">
        <v>15.214500000000001</v>
      </c>
      <c r="I1078" s="2">
        <f>VLOOKUP(C1078,[1]Sheet1!$C:$G,5,FALSE)</f>
        <v>14.49</v>
      </c>
      <c r="J1078" s="33">
        <f t="shared" si="17"/>
        <v>5.0000000000000058E-2</v>
      </c>
    </row>
  </sheetData>
  <autoFilter ref="A4:G1078" xr:uid="{B454EB62-996A-44E7-8838-1BCAEC97D233}">
    <sortState xmlns:xlrd2="http://schemas.microsoft.com/office/spreadsheetml/2017/richdata2" ref="A5:G1078">
      <sortCondition ref="C4:C1078"/>
    </sortState>
  </autoFilter>
  <sortState xmlns:xlrd2="http://schemas.microsoft.com/office/spreadsheetml/2017/richdata2" ref="A5:G1030">
    <sortCondition ref="A5:A1030"/>
    <sortCondition ref="B5:B1030"/>
    <sortCondition ref="C5:C1030"/>
  </sortState>
  <mergeCells count="1">
    <mergeCell ref="A1:G3"/>
  </mergeCells>
  <conditionalFormatting sqref="A1">
    <cfRule type="duplicateValues" dxfId="18" priority="17"/>
  </conditionalFormatting>
  <conditionalFormatting sqref="C339">
    <cfRule type="duplicateValues" dxfId="17" priority="337"/>
  </conditionalFormatting>
  <conditionalFormatting sqref="C497 C476:C488">
    <cfRule type="duplicateValues" dxfId="16" priority="33"/>
  </conditionalFormatting>
  <conditionalFormatting sqref="C546:C547">
    <cfRule type="duplicateValues" dxfId="15" priority="1"/>
  </conditionalFormatting>
  <conditionalFormatting sqref="C548">
    <cfRule type="duplicateValues" dxfId="14" priority="2"/>
  </conditionalFormatting>
  <conditionalFormatting sqref="C715:C820">
    <cfRule type="duplicateValues" dxfId="13" priority="374"/>
  </conditionalFormatting>
  <conditionalFormatting sqref="C715:C838">
    <cfRule type="duplicateValues" dxfId="12" priority="376"/>
  </conditionalFormatting>
  <conditionalFormatting sqref="C821:C838">
    <cfRule type="duplicateValues" dxfId="11" priority="276"/>
  </conditionalFormatting>
  <conditionalFormatting sqref="C839:C950">
    <cfRule type="duplicateValues" dxfId="10" priority="7"/>
  </conditionalFormatting>
  <conditionalFormatting sqref="C951:C1000 C1003:C1078">
    <cfRule type="duplicateValues" dxfId="9" priority="377"/>
  </conditionalFormatting>
  <conditionalFormatting sqref="C1001">
    <cfRule type="duplicateValues" dxfId="8" priority="9"/>
  </conditionalFormatting>
  <conditionalFormatting sqref="C1002">
    <cfRule type="duplicateValues" dxfId="7" priority="8"/>
  </conditionalFormatting>
  <conditionalFormatting sqref="C1079:C1048576 E366:E395 C340:C475 C489:C496 C498:C545 C4:C244 C247:C338">
    <cfRule type="duplicateValues" dxfId="6" priority="34"/>
  </conditionalFormatting>
  <conditionalFormatting sqref="C839:D950">
    <cfRule type="duplicateValues" dxfId="5" priority="6"/>
  </conditionalFormatting>
  <conditionalFormatting sqref="D839:D950">
    <cfRule type="duplicateValues" dxfId="4" priority="3"/>
  </conditionalFormatting>
  <conditionalFormatting sqref="E119 E143:E208">
    <cfRule type="containsText" dxfId="3" priority="28" operator="containsText" text="Inactive">
      <formula>NOT(ISERROR(SEARCH("Inactive",E119)))</formula>
    </cfRule>
    <cfRule type="containsText" dxfId="2" priority="29" operator="containsText" text="Active">
      <formula>NOT(ISERROR(SEARCH("Active",E119)))</formula>
    </cfRule>
  </conditionalFormatting>
  <conditionalFormatting sqref="E839:E950">
    <cfRule type="containsText" dxfId="1" priority="4" operator="containsText" text="Inactive">
      <formula>NOT(ISERROR(SEARCH("Inactive",E839)))</formula>
    </cfRule>
    <cfRule type="containsText" dxfId="0" priority="5" operator="containsText" text="Active">
      <formula>NOT(ISERROR(SEARCH("Active",E839)))</formula>
    </cfRule>
  </conditionalFormatting>
  <pageMargins left="0.7" right="0.7" top="0.75" bottom="0.75" header="0.3" footer="0.3"/>
  <pageSetup scale="72" fitToHeight="0" orientation="landscape" r:id="rId1"/>
  <customProperties>
    <customPr name="Company" r:id="rId2"/>
  </customProperties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328207-A970-4FA5-9A6C-FBAD80E2BD3D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6f910856-ab02-4a55-af66-a298e3afe9e8"/>
    <ds:schemaRef ds:uri="http://purl.org/dc/elements/1.1/"/>
    <ds:schemaRef ds:uri="http://schemas.microsoft.com/office/2006/metadata/properties"/>
    <ds:schemaRef ds:uri="b3cacb0e-265a-44f8-8185-eca5d87c5678"/>
    <ds:schemaRef ds:uri="http://purl.org/dc/terms/"/>
    <ds:schemaRef ds:uri="http://schemas.microsoft.com/office/infopath/2007/PartnerControls"/>
    <ds:schemaRef ds:uri="http://purl.org/dc/dcmitype/"/>
    <ds:schemaRef ds:uri="fa8d722b-3000-430e-8150-0bb591a51f1b"/>
    <ds:schemaRef ds:uri="0669384a-5814-4ce1-8d68-2a710d528d8c"/>
  </ds:schemaRefs>
</ds:datastoreItem>
</file>

<file path=customXml/itemProps2.xml><?xml version="1.0" encoding="utf-8"?>
<ds:datastoreItem xmlns:ds="http://schemas.openxmlformats.org/officeDocument/2006/customXml" ds:itemID="{59F8ED69-8AD9-477C-ACC5-7F29CF7905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A4D6C1-EE7B-44CC-89D1-C68B5B6F3E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Mannings</dc:creator>
  <cp:lastModifiedBy>Lenovo</cp:lastModifiedBy>
  <cp:lastPrinted>2020-06-08T10:39:21Z</cp:lastPrinted>
  <dcterms:created xsi:type="dcterms:W3CDTF">2020-01-16T11:44:20Z</dcterms:created>
  <dcterms:modified xsi:type="dcterms:W3CDTF">2026-03-14T20:54:46Z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XLconnect_UserProfile0">
    <vt:lpwstr>{"UserName":"colindeacon","Password":"edb","Locked":false,"WindowsAuthentication":true,"Administrator":true,"AuditAdministrator":false,"Domain":"GRANT","ClientRequiresUpdate":false,"availableModules":[{"module_name":"NLJournal","transaction_line_limit":10</vt:lpwstr>
  </property>
  <property fmtid="{D5CDD505-2E9C-101B-9397-08002B2CF9AE}" pid="4" name="XLconnect_UserProfile1">
    <vt:lpwstr>000,"companies":[{"Users_company_name":"Grant Engineering","AllowCachedData":false,"CreatePermission":true,"company_name":"Grant Engineering","login":null}]},{"module_name":"StockMaster","transaction_line_limit":10000,"companies":[{"Users_company_name":"G</vt:lpwstr>
  </property>
  <property fmtid="{D5CDD505-2E9C-101B-9397-08002B2CF9AE}" pid="5" name="XLconnect_UserProfile2">
    <vt:lpwstr>rant Engineering","AllowCachedData":true,"CreatePermission":true,"company_name":"Grant Engineering","login":null}]},{"module_name":"StockTransfer","transaction_line_limit":10000,"companies":[{"Users_company_name":"Grant Engineering","AllowCachedData":true</vt:lpwstr>
  </property>
  <property fmtid="{D5CDD505-2E9C-101B-9397-08002B2CF9AE}" pid="6" name="XLconnect_UserProfile3">
    <vt:lpwstr>,"CreatePermission":true,"company_name":"Grant Engineering","login":null}]}]}</vt:lpwstr>
  </property>
  <property fmtid="{D5CDD505-2E9C-101B-9397-08002B2CF9AE}" pid="7" name="Order">
    <vt:r8>26443600</vt:r8>
  </property>
</Properties>
</file>